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go\Desktop\"/>
    </mc:Choice>
  </mc:AlternateContent>
  <xr:revisionPtr revIDLastSave="0" documentId="13_ncr:1_{74378696-98CB-41BF-9A7D-97FAB5F6C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EDA" sheetId="2" r:id="rId2"/>
    <sheet name="Payment Analysis" sheetId="10" r:id="rId3"/>
    <sheet name="Coupon Analysis" sheetId="12" r:id="rId4"/>
    <sheet name="Product Analysis" sheetId="14" r:id="rId5"/>
    <sheet name="Sales Trend" sheetId="16" r:id="rId6"/>
    <sheet name="Statistics" sheetId="3" r:id="rId7"/>
    <sheet name="Observations" sheetId="4" r:id="rId8"/>
    <sheet name="Executive Summary" sheetId="17" r:id="rId9"/>
  </sheets>
  <definedNames>
    <definedName name="_xlcn.WorksheetConnection_2.2DatasetforDataAnalytics1.xlsxTable1" hidden="1">Table1[]</definedName>
    <definedName name="_xlcn.WorksheetConnection_Sheet1II" hidden="1">Sheet1!$I:$I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I:$I"/>
          <x15:modelTable id="Table1" name="Table1" connection="WorksheetConnection_2.2 Dataset for Data Analytics (1)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5F512F-6F41-4B45-8C95-7141E21276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30D92FE-731C-4D5C-BB0D-10DD31ECDE4A}" name="WorksheetConnection_2.2 Dataset for Data Analytics (1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2.2DatasetforDataAnalytics1.xlsxTable1"/>
        </x15:connection>
      </ext>
    </extLst>
  </connection>
  <connection id="3" xr16:uid="{94B9E1F3-A054-4276-9B72-36C36DEA7B35}" name="WorksheetConnection_Sheet1!$I:$I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II"/>
        </x15:connection>
      </ext>
    </extLst>
  </connection>
</connections>
</file>

<file path=xl/sharedStrings.xml><?xml version="1.0" encoding="utf-8"?>
<sst xmlns="http://schemas.openxmlformats.org/spreadsheetml/2006/main" count="10931" uniqueCount="4355">
  <si>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</si>
  <si>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</si>
  <si>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</si>
  <si>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</si>
  <si>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</si>
  <si>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</si>
  <si>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</si>
  <si>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</si>
  <si>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</si>
  <si>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</si>
  <si>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</si>
  <si>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</si>
  <si>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</si>
  <si>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</si>
  <si>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</si>
  <si>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</si>
  <si>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</si>
  <si>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</si>
  <si>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</si>
  <si>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</si>
  <si>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</si>
  <si>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</si>
  <si>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</si>
  <si>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</si>
  <si>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</si>
  <si>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</si>
  <si>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</si>
  <si>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</si>
  <si>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</si>
  <si>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</si>
  <si>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</si>
  <si>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</si>
  <si>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</si>
  <si>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</si>
  <si>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</si>
  <si>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</si>
  <si>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</si>
  <si>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</si>
  <si>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</si>
  <si>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</si>
  <si>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</si>
  <si>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</si>
  <si>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</si>
  <si>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</si>
  <si>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</si>
  <si>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</si>
  <si>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</si>
  <si>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</si>
  <si>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</si>
  <si>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</si>
  <si>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</si>
  <si>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</si>
  <si>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</si>
  <si>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</si>
  <si>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</si>
  <si>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</si>
  <si>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</si>
  <si>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</si>
  <si>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</si>
  <si>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</si>
  <si>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</si>
  <si>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</si>
  <si>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</si>
  <si>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</si>
  <si>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</si>
  <si>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</si>
  <si>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</si>
  <si>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</si>
  <si>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</si>
  <si>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</si>
  <si>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</si>
  <si>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</si>
  <si>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</si>
  <si>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</si>
  <si>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</si>
  <si>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</si>
  <si>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</si>
  <si>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</si>
  <si>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</si>
  <si>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</si>
  <si>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</si>
  <si>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</si>
  <si>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</si>
  <si>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</si>
  <si>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</si>
  <si>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</si>
  <si>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</si>
  <si>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</si>
  <si>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</si>
  <si>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</si>
  <si>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</si>
  <si>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</si>
  <si>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</si>
  <si>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</si>
  <si>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</si>
  <si>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</si>
  <si>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</si>
  <si>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</si>
  <si>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</si>
  <si>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</si>
  <si>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</si>
  <si>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</si>
  <si>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</si>
  <si>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</si>
  <si>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</si>
  <si>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</si>
  <si>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</si>
  <si>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</si>
  <si>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</si>
  <si>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</si>
  <si>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</si>
  <si>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</si>
  <si>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</si>
  <si>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</si>
  <si>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</si>
  <si>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</si>
  <si>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</si>
  <si>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</si>
  <si>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</si>
  <si>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</si>
  <si>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</si>
  <si>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</si>
  <si>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</si>
  <si>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</si>
  <si>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</si>
  <si>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</si>
  <si>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</si>
  <si>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</si>
  <si>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</si>
  <si>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</si>
  <si>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</si>
  <si>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</si>
  <si>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</si>
  <si>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</si>
  <si>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</si>
  <si>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</si>
  <si>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</si>
  <si>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</si>
  <si>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</si>
  <si>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</si>
  <si>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</si>
  <si>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</si>
  <si>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</si>
  <si>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</si>
  <si>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</si>
  <si>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</si>
  <si>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</si>
  <si>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</si>
  <si>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</si>
  <si>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</si>
  <si>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</si>
  <si>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</si>
  <si>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</si>
  <si>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</si>
  <si>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</si>
  <si>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</si>
  <si>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</si>
  <si>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</si>
  <si>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</si>
  <si>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</si>
  <si>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</si>
  <si>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</si>
  <si>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</si>
  <si>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</si>
  <si>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</si>
  <si>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</si>
  <si>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</si>
  <si>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</si>
  <si>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</si>
  <si>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</si>
  <si>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</si>
  <si>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</si>
  <si>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</si>
  <si>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</si>
  <si>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</si>
  <si>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</si>
  <si>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</si>
  <si>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</si>
  <si>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</si>
  <si>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</si>
  <si>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</si>
  <si>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</si>
  <si>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</si>
  <si>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</si>
  <si>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</si>
  <si>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</si>
  <si>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</si>
  <si>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</si>
  <si>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</si>
  <si>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</si>
  <si>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</si>
  <si>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</si>
  <si>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</si>
  <si>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</si>
  <si>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</si>
  <si>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</si>
  <si>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</si>
  <si>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</si>
  <si>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</si>
  <si>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</si>
  <si>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</si>
  <si>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</si>
  <si>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</si>
  <si>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</si>
  <si>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</si>
  <si>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</si>
  <si>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</si>
  <si>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</si>
  <si>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</si>
  <si>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</si>
  <si>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</si>
  <si>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</si>
  <si>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</si>
  <si>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</si>
  <si>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</si>
  <si>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</si>
  <si>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</si>
  <si>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</si>
  <si>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</si>
  <si>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</si>
  <si>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</si>
  <si>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</si>
  <si>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</si>
  <si>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</si>
  <si>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</si>
  <si>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</si>
  <si>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</si>
  <si>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</si>
  <si>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</si>
  <si>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</si>
  <si>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</si>
  <si>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</si>
  <si>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</si>
  <si>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</si>
  <si>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</si>
  <si>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</si>
  <si>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</si>
  <si>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</si>
  <si>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</si>
  <si>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</si>
  <si>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</si>
  <si>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</si>
  <si>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</si>
  <si>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</si>
  <si>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</si>
  <si>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</si>
  <si>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</si>
  <si>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</si>
  <si>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</si>
  <si>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</si>
  <si>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</si>
  <si>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</si>
  <si>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</si>
  <si>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</si>
  <si>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</si>
  <si>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</si>
  <si>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</si>
  <si>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</si>
  <si>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</si>
  <si>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</si>
  <si>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</si>
  <si>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</si>
  <si>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</si>
  <si>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</si>
  <si>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</si>
  <si>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</si>
  <si>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</si>
  <si>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</si>
  <si>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</si>
  <si>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</si>
  <si>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</si>
  <si>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</si>
  <si>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</si>
  <si>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</si>
  <si>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</si>
  <si>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</si>
  <si>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</si>
  <si>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</si>
  <si>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</si>
  <si>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</si>
  <si>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</si>
  <si>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</si>
  <si>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</si>
  <si>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</si>
  <si>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</si>
  <si>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</si>
  <si>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</si>
  <si>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</si>
  <si>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</si>
  <si>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</si>
  <si>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</si>
  <si>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</si>
  <si>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</si>
  <si>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</si>
  <si>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</si>
  <si>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</si>
  <si>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</si>
  <si>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</si>
  <si>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</si>
  <si>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</si>
  <si>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</si>
  <si>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</si>
  <si>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</si>
  <si>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</si>
  <si>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</si>
  <si>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</si>
  <si>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</si>
  <si>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</si>
  <si>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</si>
  <si>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</si>
  <si>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</si>
  <si>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</si>
  <si>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</si>
  <si>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</si>
  <si>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</si>
  <si>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</si>
  <si>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</si>
  <si>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</si>
  <si>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</si>
  <si>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</si>
  <si>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</si>
  <si>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</si>
  <si>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</si>
  <si>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</si>
  <si>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</si>
  <si>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</si>
  <si>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</si>
  <si>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</si>
  <si>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</si>
  <si>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</si>
  <si>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</si>
  <si>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</si>
  <si>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</si>
  <si>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</si>
  <si>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</si>
  <si>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</si>
  <si>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</si>
  <si>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</si>
  <si>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</si>
  <si>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</si>
  <si>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</si>
  <si>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</si>
  <si>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</si>
  <si>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</si>
  <si>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</si>
  <si>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</si>
  <si>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</si>
  <si>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</si>
  <si>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</si>
  <si>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</si>
  <si>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</si>
  <si>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</si>
  <si>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</si>
  <si>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</si>
  <si>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</si>
  <si>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</si>
  <si>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</si>
  <si>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</si>
  <si>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</si>
  <si>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</si>
  <si>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</si>
  <si>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</si>
  <si>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</si>
  <si>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</si>
  <si>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</si>
  <si>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</si>
  <si>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</si>
  <si>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</si>
  <si>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</si>
  <si>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</si>
  <si>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</si>
  <si>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</si>
  <si>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</si>
  <si>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</si>
  <si>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</si>
  <si>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</si>
  <si>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</si>
  <si>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</si>
  <si>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</si>
  <si>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</si>
  <si>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</si>
  <si>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</si>
  <si>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</si>
  <si>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</si>
  <si>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</si>
  <si>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</si>
  <si>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</si>
  <si>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</si>
  <si>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</si>
  <si>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</si>
  <si>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</si>
  <si>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</si>
  <si>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</si>
  <si>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</si>
  <si>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</si>
  <si>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</si>
  <si>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</si>
  <si>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</si>
  <si>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</si>
  <si>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</si>
  <si>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</si>
  <si>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</si>
  <si>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</si>
  <si>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</si>
  <si>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</si>
  <si>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</si>
  <si>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</si>
  <si>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</si>
  <si>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</si>
  <si>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</si>
  <si>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</si>
  <si>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</si>
  <si>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</si>
  <si>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</si>
  <si>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</si>
  <si>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</si>
  <si>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</si>
  <si>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</si>
  <si>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</si>
  <si>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</si>
  <si>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</si>
  <si>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</si>
  <si>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</si>
  <si>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</si>
  <si>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</si>
  <si>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</si>
  <si>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</si>
  <si>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</si>
  <si>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</si>
  <si>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</si>
  <si>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</si>
  <si>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</si>
  <si>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</si>
  <si>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</si>
  <si>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</si>
  <si>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</si>
  <si>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</si>
  <si>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</si>
  <si>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</si>
  <si>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</si>
  <si>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</si>
  <si>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</si>
  <si>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</si>
  <si>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</si>
  <si>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</si>
  <si>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</si>
  <si>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</si>
  <si>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</si>
  <si>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</si>
  <si>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</si>
  <si>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</si>
  <si>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</si>
  <si>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</si>
  <si>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</si>
  <si>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</si>
  <si>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</si>
  <si>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</si>
  <si>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</si>
  <si>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</si>
  <si>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</si>
  <si>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</si>
  <si>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</si>
  <si>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</si>
  <si>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</si>
  <si>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</si>
  <si>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</si>
  <si>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</si>
  <si>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</si>
  <si>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</si>
  <si>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</si>
  <si>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</si>
  <si>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</si>
  <si>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</si>
  <si>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</si>
  <si>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</si>
  <si>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</si>
  <si>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</si>
  <si>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</si>
  <si>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</si>
  <si>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</si>
  <si>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</si>
  <si>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</si>
  <si>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</si>
  <si>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</si>
  <si>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</si>
  <si>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</si>
  <si>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</si>
  <si>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</si>
  <si>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</si>
  <si>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</si>
  <si>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</si>
  <si>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</si>
  <si>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</si>
  <si>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</si>
  <si>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</si>
  <si>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</si>
  <si>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</si>
  <si>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</si>
  <si>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</si>
  <si>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</si>
  <si>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</si>
  <si>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</si>
  <si>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</si>
  <si>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</si>
  <si>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</si>
  <si>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</si>
  <si>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</si>
  <si>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</si>
  <si>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</si>
  <si>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</si>
  <si>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</si>
  <si>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</si>
  <si>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</si>
  <si>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</si>
  <si>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</si>
  <si>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</si>
  <si>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</si>
  <si>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</si>
  <si>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</si>
  <si>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</si>
  <si>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</si>
  <si>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</si>
  <si>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</si>
  <si>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</si>
  <si>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</si>
  <si>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</si>
  <si>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</si>
  <si>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</si>
  <si>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</si>
  <si>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</si>
  <si>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</si>
  <si>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</si>
  <si>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</si>
  <si>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</si>
  <si>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</si>
  <si>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</si>
  <si>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</si>
  <si>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</si>
  <si>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</si>
  <si>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</si>
  <si>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</si>
  <si>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</si>
  <si>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</si>
  <si>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</si>
  <si>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</si>
  <si>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</si>
  <si>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</si>
  <si>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</si>
  <si>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</si>
  <si>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</si>
  <si>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</si>
  <si>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</si>
  <si>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</si>
  <si>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</si>
  <si>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</si>
  <si>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</si>
  <si>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</si>
  <si>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</si>
  <si>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</si>
  <si>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</si>
  <si>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</si>
  <si>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</si>
  <si>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</si>
  <si>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</si>
  <si>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</si>
  <si>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</si>
  <si>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</si>
  <si>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</si>
  <si>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</si>
  <si>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</si>
  <si>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</si>
  <si>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</si>
  <si>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</si>
  <si>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</si>
  <si>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</si>
  <si>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</si>
  <si>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</si>
  <si>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</si>
  <si>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</si>
  <si>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</si>
  <si>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</si>
  <si>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</si>
  <si>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</si>
  <si>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</si>
  <si>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</si>
  <si>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</si>
  <si>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</si>
  <si>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</si>
  <si>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</si>
  <si>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</si>
  <si>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</si>
  <si>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</si>
  <si>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</si>
  <si>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</si>
  <si>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</si>
  <si>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</si>
  <si>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</si>
  <si>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</si>
  <si>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</si>
  <si>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</si>
  <si>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</si>
  <si>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</si>
  <si>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</si>
  <si>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</si>
  <si>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</si>
  <si>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</si>
  <si>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</si>
  <si>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</si>
  <si>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</si>
  <si>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</si>
  <si>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</si>
  <si>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</si>
  <si>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</si>
  <si>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</si>
  <si>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</si>
  <si>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</si>
  <si>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</si>
  <si>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</si>
  <si>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</si>
  <si>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</si>
  <si>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</si>
  <si>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</si>
  <si>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</si>
  <si>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</si>
  <si>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</si>
  <si>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</si>
  <si>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</si>
  <si>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</si>
  <si>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</si>
  <si>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</si>
  <si>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</si>
  <si>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</si>
  <si>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</si>
  <si>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</si>
  <si>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</si>
  <si>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</si>
  <si>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</si>
  <si>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</si>
  <si>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</si>
  <si>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</si>
  <si>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</si>
  <si>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</si>
  <si>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</si>
  <si>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</si>
  <si>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</si>
  <si>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</si>
  <si>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</si>
  <si>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</si>
  <si>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</si>
  <si>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</si>
  <si>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</si>
  <si>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</si>
  <si>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</si>
  <si>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</si>
  <si>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</si>
  <si>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</si>
  <si>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</si>
  <si>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</si>
  <si>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</si>
  <si>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</si>
  <si>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</si>
  <si>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</si>
  <si>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</si>
  <si>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</si>
  <si>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</si>
  <si>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</si>
  <si>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</si>
  <si>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</si>
  <si>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</si>
  <si>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</si>
  <si>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</si>
  <si>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</si>
  <si>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</si>
  <si>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</si>
  <si>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</si>
  <si>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</si>
  <si>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</si>
  <si>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</si>
  <si>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</si>
  <si>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</si>
  <si>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</si>
  <si>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</si>
  <si>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</si>
  <si>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</si>
  <si>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</si>
  <si>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</si>
  <si>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</si>
  <si>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</si>
  <si>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</si>
  <si>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</si>
  <si>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</si>
  <si>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</si>
  <si>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</si>
  <si>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</si>
  <si>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</si>
  <si>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</si>
  <si>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</si>
  <si>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</si>
  <si>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</si>
  <si>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</si>
  <si>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</si>
  <si>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</si>
  <si>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</si>
  <si>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</si>
  <si>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</si>
  <si>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</si>
  <si>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</si>
  <si>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</si>
  <si>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</si>
  <si>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</si>
  <si>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</si>
  <si>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</si>
  <si>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</si>
  <si>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</si>
  <si>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</si>
  <si>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</si>
  <si>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</si>
  <si>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</si>
  <si>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</si>
  <si>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</si>
  <si>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</si>
  <si>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</si>
  <si>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</si>
  <si>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</si>
  <si>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</si>
  <si>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</si>
  <si>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</si>
  <si>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</si>
  <si>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</si>
  <si>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</si>
  <si>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</si>
  <si>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</si>
  <si>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</si>
  <si>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</si>
  <si>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</si>
  <si>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</si>
  <si>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</si>
  <si>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</si>
  <si>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</si>
  <si>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</si>
  <si>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</si>
  <si>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</si>
  <si>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</si>
  <si>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</si>
  <si>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</si>
  <si>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</si>
  <si>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</si>
  <si>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</si>
  <si>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</si>
  <si>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</si>
  <si>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</si>
  <si>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</si>
  <si>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</si>
  <si>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</si>
  <si>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</si>
  <si>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</si>
  <si>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</si>
  <si>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</si>
  <si>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</si>
  <si>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</si>
  <si>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</si>
  <si>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</si>
  <si>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</si>
  <si>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</si>
  <si>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</si>
  <si>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</si>
  <si>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</si>
  <si>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</si>
  <si>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</si>
  <si>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</si>
  <si>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</si>
  <si>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</si>
  <si>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</si>
  <si>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</si>
  <si>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</si>
  <si>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</si>
  <si>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</si>
  <si>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</si>
  <si>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</si>
  <si>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</si>
  <si>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</si>
  <si>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</si>
  <si>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</si>
  <si>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</si>
  <si>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</si>
  <si>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</si>
  <si>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</si>
  <si>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</si>
  <si>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</si>
  <si>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</si>
  <si>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</si>
  <si>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</si>
  <si>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</si>
  <si>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</si>
  <si>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</si>
  <si>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</si>
  <si>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</si>
  <si>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</si>
  <si>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</si>
  <si>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</si>
  <si>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</si>
  <si>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</si>
  <si>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</si>
  <si>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</si>
  <si>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</si>
  <si>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</si>
  <si>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</si>
  <si>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</si>
  <si>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</si>
  <si>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</si>
  <si>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</si>
  <si>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</si>
  <si>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</si>
  <si>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</si>
  <si>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</si>
  <si>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</si>
  <si>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</si>
  <si>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</si>
  <si>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</si>
  <si>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</si>
  <si>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</si>
  <si>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</si>
  <si>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</si>
  <si>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</si>
  <si>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</si>
  <si>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</si>
  <si>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</si>
  <si>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</si>
  <si>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</si>
  <si>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</si>
  <si>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</si>
  <si>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</si>
  <si>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</si>
  <si>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</si>
  <si>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</si>
  <si>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</si>
  <si>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</si>
  <si>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</si>
  <si>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</si>
  <si>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</si>
  <si>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</si>
  <si>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</si>
  <si>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</si>
  <si>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</si>
  <si>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</si>
  <si>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</si>
  <si>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</si>
  <si>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</si>
  <si>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</si>
  <si>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</si>
  <si>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</si>
  <si>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</si>
  <si>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</si>
  <si>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</si>
  <si>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</si>
  <si>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</si>
  <si>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</si>
  <si>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</si>
  <si>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</si>
  <si>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</si>
  <si>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</si>
  <si>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</si>
  <si>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</si>
  <si>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</si>
  <si>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</si>
  <si>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</si>
  <si>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</si>
  <si>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</si>
  <si>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</si>
  <si>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</si>
  <si>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</si>
  <si>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</si>
  <si>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</si>
  <si>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</si>
  <si>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</si>
  <si>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</si>
  <si>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</si>
  <si>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</si>
  <si>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</si>
  <si>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</si>
  <si>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</si>
  <si>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</si>
  <si>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</si>
  <si>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</si>
  <si>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</si>
  <si>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</si>
  <si>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</si>
  <si>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</si>
  <si>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</si>
  <si>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</si>
  <si>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</si>
  <si>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</si>
  <si>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</si>
  <si>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</si>
  <si>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</si>
  <si>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</si>
  <si>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</si>
  <si>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</si>
  <si>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</si>
  <si>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</si>
  <si>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</si>
  <si>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</si>
  <si>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</si>
  <si>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</si>
  <si>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</si>
  <si>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</si>
  <si>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</si>
  <si>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</si>
  <si>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</si>
  <si>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</si>
  <si>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</si>
  <si>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</si>
  <si>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</si>
  <si>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</si>
  <si>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</si>
  <si>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</si>
  <si>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</si>
  <si>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</si>
  <si>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</si>
  <si>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</si>
  <si>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</si>
  <si>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</si>
  <si>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</si>
  <si>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</si>
  <si>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</si>
  <si>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</si>
  <si>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</si>
  <si>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</si>
  <si>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</si>
  <si>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</si>
  <si>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</si>
  <si>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</si>
  <si>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</si>
  <si>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</si>
  <si>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</si>
  <si>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</si>
  <si>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</si>
  <si>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</si>
  <si>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</si>
  <si>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</si>
  <si>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</si>
  <si>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</si>
  <si>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</si>
  <si>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</si>
  <si>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</si>
  <si>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</si>
  <si>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</si>
  <si>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</si>
  <si>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</si>
  <si>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</si>
  <si>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</si>
  <si>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</si>
  <si>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</si>
  <si>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</si>
  <si>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</si>
  <si>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</si>
  <si>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</si>
  <si>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</si>
  <si>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</si>
  <si>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</si>
  <si>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</si>
  <si>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</si>
  <si>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</si>
  <si>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</si>
  <si>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</si>
  <si>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</si>
  <si>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</si>
  <si>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</si>
  <si>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</si>
  <si>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</si>
  <si>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</si>
  <si>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</si>
  <si>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</si>
  <si>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</si>
  <si>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</si>
  <si>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</si>
  <si>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</si>
  <si>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</si>
  <si>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</si>
  <si>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</si>
  <si>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</si>
  <si>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</si>
  <si>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</si>
  <si>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</si>
  <si>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</si>
  <si>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</si>
  <si>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</si>
  <si>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</si>
  <si>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</si>
  <si>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</si>
  <si>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</si>
  <si>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</si>
  <si>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</si>
  <si>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</si>
  <si>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</si>
  <si>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</si>
  <si>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</si>
  <si>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</si>
  <si>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</si>
  <si>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</si>
  <si>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</si>
  <si>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</si>
  <si>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</si>
  <si>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</si>
  <si>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</si>
  <si>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</si>
  <si>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</si>
  <si>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</si>
  <si>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</si>
  <si>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</si>
  <si>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</si>
  <si>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</si>
  <si>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</si>
  <si>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</si>
  <si>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</si>
  <si>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</si>
  <si>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</si>
  <si>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</si>
  <si>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</si>
  <si>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</si>
  <si>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</si>
  <si>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</si>
  <si>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</si>
  <si>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</si>
  <si>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</si>
  <si>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</si>
  <si>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</si>
  <si>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</si>
  <si>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</si>
  <si>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</si>
  <si>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</si>
  <si>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</si>
  <si>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</si>
  <si>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</si>
  <si>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</si>
  <si>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</si>
  <si>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</si>
  <si>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</si>
  <si>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</si>
  <si>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</si>
  <si>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</si>
  <si>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</si>
  <si>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</si>
  <si>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</si>
  <si>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</si>
  <si>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</si>
  <si>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</si>
  <si>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</si>
  <si>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</si>
  <si>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</si>
  <si>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</si>
  <si>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</si>
  <si>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</si>
  <si>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</si>
  <si>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</si>
  <si>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</si>
  <si>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</si>
  <si>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</si>
  <si>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</si>
  <si>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</si>
  <si>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</si>
  <si>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</si>
  <si>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</si>
  <si>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</si>
  <si>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</si>
  <si>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</si>
  <si>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</si>
  <si>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</si>
  <si>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</si>
  <si>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</si>
  <si>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</si>
  <si>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</si>
  <si>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</si>
  <si>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</si>
  <si>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</si>
  <si>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</si>
  <si>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</si>
  <si>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</si>
  <si>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</si>
  <si>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</si>
  <si>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</si>
  <si>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</si>
  <si>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</si>
  <si>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</si>
  <si>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</si>
  <si>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</si>
  <si>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</si>
  <si>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</si>
  <si>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</si>
  <si>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</si>
  <si>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</si>
  <si>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</si>
  <si>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</si>
  <si>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</si>
  <si>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</si>
  <si>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</si>
  <si>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</si>
  <si>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</si>
  <si>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</si>
  <si>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</si>
  <si>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</si>
  <si>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</si>
  <si>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</si>
  <si>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</si>
  <si>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</si>
  <si>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</si>
  <si>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</si>
  <si>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</si>
  <si>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</si>
  <si>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</si>
  <si>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</si>
  <si>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</si>
  <si>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</si>
  <si>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</si>
  <si>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</si>
  <si>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</si>
  <si>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</si>
  <si>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</si>
  <si>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</si>
  <si>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</si>
  <si>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</si>
  <si>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</si>
  <si>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</si>
  <si>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</si>
  <si>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</si>
  <si>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</si>
  <si>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</si>
  <si>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</si>
  <si>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</si>
  <si>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</si>
  <si>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</si>
  <si>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</si>
  <si>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</si>
  <si>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</si>
  <si>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</si>
  <si>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</si>
  <si>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</si>
  <si>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</si>
  <si>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</si>
  <si>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</si>
  <si>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</si>
  <si>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</si>
  <si>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</si>
  <si>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</si>
  <si>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</si>
  <si>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</si>
  <si>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</si>
  <si>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</si>
  <si>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</si>
  <si>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</si>
  <si>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</si>
  <si>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</si>
  <si>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</si>
  <si>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</si>
  <si>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</si>
  <si>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</si>
  <si>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</si>
  <si>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</si>
  <si>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</si>
  <si>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</si>
  <si>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</si>
  <si>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</si>
  <si>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</si>
  <si>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</si>
  <si>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</si>
  <si>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</si>
  <si>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</si>
  <si>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</si>
  <si>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</si>
  <si>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</si>
  <si>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</si>
  <si>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</si>
  <si>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</si>
  <si>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</si>
  <si>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</si>
  <si>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</si>
  <si>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</si>
  <si>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</si>
  <si>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</si>
  <si>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</si>
  <si>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</si>
  <si>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</si>
  <si>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</si>
  <si>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</si>
  <si>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</si>
  <si>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</si>
  <si>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</si>
  <si>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</si>
  <si>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</si>
  <si>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</si>
  <si>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</si>
  <si>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</si>
  <si>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</si>
  <si>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</si>
  <si>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</si>
  <si>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</si>
  <si>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</si>
  <si>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</si>
  <si>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</si>
  <si>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</si>
  <si>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</si>
  <si>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</si>
  <si>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</si>
  <si>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</si>
  <si>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</si>
  <si>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</si>
  <si>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</si>
  <si>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</si>
  <si>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</si>
  <si>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</si>
  <si>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</si>
  <si>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</si>
  <si>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</si>
  <si>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</si>
  <si>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</si>
  <si>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</si>
  <si>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</si>
  <si>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</si>
  <si>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</si>
  <si>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</si>
  <si>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</si>
  <si>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</si>
  <si>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</si>
  <si>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</si>
  <si>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</si>
  <si>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</si>
  <si>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</si>
  <si>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</si>
  <si>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</si>
  <si>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</si>
  <si>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</si>
  <si>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</si>
  <si>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</si>
  <si>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</si>
  <si>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</si>
  <si>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</si>
  <si>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</si>
  <si>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</si>
  <si>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</si>
  <si>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</si>
  <si>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</si>
  <si>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</si>
  <si>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</si>
  <si>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</si>
  <si>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</si>
  <si>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</si>
  <si>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</si>
  <si>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</si>
  <si>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</si>
  <si>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</si>
  <si>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</si>
  <si>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</si>
  <si>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</si>
  <si>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</si>
  <si>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</si>
  <si>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</si>
  <si>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</si>
  <si>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</si>
  <si>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</si>
  <si>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</si>
  <si>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</si>
  <si>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</si>
  <si>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</si>
  <si>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</si>
  <si>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</si>
  <si>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</si>
  <si>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</si>
  <si>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</si>
  <si>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</si>
  <si>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</si>
  <si>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</si>
  <si>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</si>
  <si>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</si>
  <si>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</si>
  <si>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</si>
  <si>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</si>
  <si>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</si>
  <si>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</si>
  <si>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</si>
  <si>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</si>
  <si>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</si>
  <si>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</si>
  <si>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</si>
  <si>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</si>
  <si>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</si>
  <si>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</si>
  <si>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</si>
  <si>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</si>
  <si>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</si>
  <si>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</si>
  <si>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</si>
  <si>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</si>
  <si>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</si>
  <si>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</si>
  <si>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</si>
  <si>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</si>
  <si>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</si>
  <si>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</si>
  <si>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</si>
  <si>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</si>
  <si>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</si>
  <si>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</si>
  <si>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</si>
  <si>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</si>
  <si>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</si>
  <si>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</si>
  <si>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</si>
  <si>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</si>
  <si>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</si>
  <si>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</si>
  <si>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</si>
  <si>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</si>
  <si>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</si>
  <si>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</si>
  <si>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</si>
  <si>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</si>
  <si>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</si>
  <si>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</si>
  <si>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</si>
  <si>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</si>
  <si>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</si>
  <si>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</si>
  <si>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</si>
  <si>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</si>
  <si>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</si>
  <si>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</si>
  <si>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</si>
  <si>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</si>
  <si>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</si>
  <si>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</si>
  <si>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</si>
  <si>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</si>
  <si>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</si>
  <si>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</si>
  <si>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</si>
  <si>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</si>
  <si>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</si>
  <si>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</si>
  <si>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</si>
  <si>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</si>
  <si>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</si>
  <si>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</si>
  <si>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</si>
  <si>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</si>
  <si>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</si>
  <si>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</si>
  <si>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</si>
  <si>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</si>
  <si>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</si>
  <si>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</si>
  <si>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</si>
  <si>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</si>
  <si>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</si>
  <si>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</si>
  <si>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</si>
  <si>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</si>
  <si>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</si>
  <si>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</si>
  <si>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</si>
  <si>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</si>
  <si>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</si>
  <si>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</si>
  <si>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</si>
  <si>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</si>
  <si>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</si>
  <si>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</si>
  <si>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</si>
  <si>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</si>
  <si>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</si>
  <si>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</si>
  <si>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</si>
  <si>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</si>
  <si>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</si>
  <si>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</si>
  <si>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</si>
  <si>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</si>
  <si>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</si>
  <si>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</si>
  <si>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</si>
  <si>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</si>
  <si>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</si>
  <si>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</si>
  <si>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</si>
  <si>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</si>
  <si>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</si>
  <si>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</si>
  <si>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</si>
  <si>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</si>
  <si>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</si>
  <si>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</si>
  <si>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</si>
  <si>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</si>
  <si>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</si>
  <si>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</si>
  <si>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</si>
  <si>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</si>
  <si>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</si>
  <si>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</si>
  <si>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</si>
  <si>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</si>
  <si>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</si>
  <si>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</si>
  <si>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</si>
  <si>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</si>
  <si>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</si>
  <si>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</si>
  <si>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</si>
  <si>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</si>
  <si>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</si>
  <si>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</si>
  <si>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</si>
  <si>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</si>
  <si>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</si>
  <si>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</si>
  <si>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</si>
  <si>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</si>
  <si>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</si>
  <si>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</si>
  <si>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</si>
  <si>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</si>
  <si>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</si>
  <si>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</si>
  <si>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</si>
  <si>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</si>
  <si>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</si>
  <si>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</si>
  <si>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</si>
  <si>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</si>
  <si>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</si>
  <si>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</si>
  <si>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</si>
  <si>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</si>
  <si>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</si>
  <si>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</si>
  <si>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</si>
  <si>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</si>
  <si>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</si>
  <si>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</si>
  <si>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</si>
  <si>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</si>
  <si>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</si>
  <si>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</si>
  <si>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</si>
  <si>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</si>
  <si>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</si>
  <si>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</si>
  <si>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</si>
  <si>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</si>
  <si>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</si>
  <si>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</si>
  <si>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</si>
  <si>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</si>
  <si>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</si>
  <si>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</si>
  <si>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</si>
  <si>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</si>
  <si>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</si>
  <si>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</si>
  <si>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</si>
  <si>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</si>
  <si>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</si>
  <si>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</si>
  <si>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</si>
  <si>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</si>
  <si>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</si>
  <si>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</si>
  <si>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</si>
  <si>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</si>
  <si>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</si>
  <si>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</si>
  <si>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</si>
  <si>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</si>
  <si>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</si>
  <si>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</si>
  <si>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</si>
  <si>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</si>
  <si>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</si>
  <si>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</si>
  <si>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</si>
  <si>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</si>
  <si>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</si>
  <si>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</si>
  <si>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</si>
  <si>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</si>
  <si>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</si>
  <si>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</si>
  <si>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</si>
  <si>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</si>
  <si>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</si>
  <si>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</si>
  <si>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</si>
  <si>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</si>
  <si>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</si>
  <si>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</si>
  <si>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</si>
  <si>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</si>
  <si>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</si>
  <si>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</si>
  <si>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</si>
  <si>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</si>
  <si>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</si>
  <si>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</si>
  <si>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</si>
  <si>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</si>
  <si>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</si>
  <si>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</si>
  <si>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</si>
  <si>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</si>
  <si>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</si>
  <si>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</si>
  <si>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</si>
  <si>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</si>
  <si>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</si>
  <si>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</si>
  <si>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</si>
  <si>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</si>
  <si>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</si>
  <si>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</si>
  <si>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</si>
  <si>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</si>
  <si>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</si>
  <si>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</si>
  <si>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</si>
  <si>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</si>
  <si>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</si>
  <si>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</si>
  <si>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</si>
  <si>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</si>
  <si>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</si>
  <si>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</si>
  <si>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</si>
  <si>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</si>
  <si>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</si>
  <si>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</si>
  <si>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</si>
  <si>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</si>
  <si>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</si>
  <si>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</si>
  <si>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</si>
  <si>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</si>
  <si>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</si>
  <si>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</si>
  <si>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</si>
  <si>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</si>
  <si>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</si>
  <si>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</si>
  <si>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</si>
  <si>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</si>
  <si>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</si>
  <si>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</si>
  <si>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</si>
  <si>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</si>
  <si>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</si>
  <si>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</si>
  <si>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</si>
  <si>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</si>
  <si>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</si>
  <si>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</si>
  <si>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</si>
  <si>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</si>
  <si>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</si>
  <si>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</si>
  <si>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</si>
  <si>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</si>
  <si>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</si>
  <si>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</si>
  <si>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</si>
  <si>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</si>
  <si>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</si>
  <si>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</si>
  <si>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</si>
  <si>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</si>
  <si>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</si>
  <si>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</si>
  <si>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</si>
  <si>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</si>
  <si>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</si>
  <si>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</si>
  <si>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</si>
  <si>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</si>
  <si>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</si>
  <si>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</si>
  <si>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</si>
  <si>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</si>
  <si>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</si>
  <si>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</si>
  <si>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</si>
  <si>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</si>
  <si>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</si>
  <si>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</si>
  <si>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</si>
  <si>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</si>
  <si>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</si>
  <si>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</si>
  <si>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</si>
  <si>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</si>
  <si>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</si>
  <si>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</si>
  <si>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</si>
  <si>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</si>
  <si>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</si>
  <si>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</si>
  <si>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</si>
  <si>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</si>
  <si>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</si>
  <si>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</si>
  <si>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</si>
  <si>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</si>
  <si>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</si>
  <si>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</si>
  <si>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</si>
  <si>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</si>
  <si>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</si>
  <si>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</si>
  <si>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</si>
  <si>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</si>
  <si>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</si>
  <si>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</si>
  <si>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</si>
  <si>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</si>
  <si>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</si>
  <si>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</si>
  <si>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</si>
  <si>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</si>
  <si>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</si>
  <si>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</si>
  <si>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</si>
  <si>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</si>
  <si>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</si>
  <si>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</si>
  <si>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</si>
  <si>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</si>
  <si>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</si>
  <si>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</si>
  <si>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</si>
  <si>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</si>
  <si>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</si>
  <si>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</si>
  <si>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</si>
  <si>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</si>
  <si>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</si>
  <si>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</si>
  <si>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</si>
  <si>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</si>
  <si>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</si>
  <si>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</si>
  <si>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</si>
  <si>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</si>
  <si>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</si>
  <si>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</si>
  <si>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</si>
  <si>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</si>
  <si>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</si>
  <si>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</si>
  <si>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</si>
  <si>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</si>
  <si>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</si>
  <si>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</si>
  <si>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</si>
  <si>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</si>
  <si>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</si>
  <si>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</si>
  <si>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</si>
  <si>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</si>
  <si>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</si>
  <si>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</si>
  <si>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</si>
  <si>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</si>
  <si>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</si>
  <si>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</si>
  <si>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</si>
  <si>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</si>
  <si>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</si>
  <si>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</si>
  <si>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</si>
  <si>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</si>
  <si>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</si>
  <si>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</si>
  <si>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</si>
  <si>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</si>
  <si>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</si>
  <si>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</si>
  <si>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</si>
  <si>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</si>
  <si>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</si>
  <si>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</si>
  <si>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</si>
  <si>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</si>
  <si>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</si>
  <si>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</si>
  <si>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</si>
  <si>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</si>
  <si>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</si>
  <si>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</si>
  <si>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</si>
  <si>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</si>
  <si>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</si>
  <si>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</si>
  <si>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</si>
  <si>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</si>
  <si>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</si>
  <si>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</si>
  <si>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</si>
  <si>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</si>
  <si>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</si>
  <si>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</si>
  <si>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</si>
  <si>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</si>
  <si>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</si>
  <si>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</si>
  <si>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</si>
  <si>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</si>
  <si>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</si>
  <si>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</si>
  <si>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</si>
  <si>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</si>
  <si>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</si>
  <si>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</si>
  <si>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</si>
  <si>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</si>
  <si>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</si>
  <si>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</si>
  <si>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</si>
  <si>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</si>
  <si>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</si>
  <si>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</si>
  <si>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</si>
  <si>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</si>
  <si>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</si>
  <si>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</si>
  <si>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</si>
  <si>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</si>
  <si>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</si>
  <si>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</si>
  <si>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</si>
  <si>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</si>
  <si>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</si>
  <si>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</si>
  <si>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</si>
  <si>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</si>
  <si>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</si>
  <si>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</si>
  <si>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</si>
  <si>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</si>
  <si>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</si>
  <si>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</si>
  <si>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</si>
  <si>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</si>
  <si>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</si>
  <si>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</si>
  <si>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</si>
  <si>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</si>
  <si>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</si>
  <si>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</si>
  <si>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</si>
  <si>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</si>
  <si>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</si>
  <si>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</si>
  <si>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</si>
  <si>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</si>
  <si>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</si>
  <si>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</si>
  <si>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</si>
  <si>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</si>
  <si>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</si>
  <si>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</si>
  <si>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</si>
  <si>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</si>
  <si>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</si>
  <si>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</si>
  <si>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</si>
  <si>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</si>
  <si>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</si>
  <si>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</si>
  <si>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</si>
  <si>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</si>
  <si>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</si>
  <si>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</si>
  <si>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</si>
  <si>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</si>
  <si>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</si>
  <si>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</si>
  <si>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</si>
  <si>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</si>
  <si>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</si>
  <si>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</si>
  <si>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</si>
  <si>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</si>
  <si>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</si>
  <si>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</si>
  <si>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</si>
  <si>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</si>
  <si>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</si>
  <si>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</si>
  <si>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</si>
  <si>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</si>
  <si>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</si>
  <si>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</si>
  <si>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</si>
  <si>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</si>
  <si>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</si>
  <si>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</si>
  <si>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</si>
  <si>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</si>
  <si>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</si>
  <si>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</si>
  <si>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</si>
  <si>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</si>
  <si>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</si>
  <si>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</si>
  <si>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</si>
  <si>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</si>
  <si>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</si>
  <si>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</si>
  <si>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</si>
  <si>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</si>
  <si>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</si>
  <si>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</si>
  <si>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</si>
  <si>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</si>
  <si>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</si>
  <si>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</si>
  <si>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</si>
  <si>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</si>
  <si>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</si>
  <si>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</si>
  <si>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</si>
  <si>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</si>
  <si>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</si>
  <si>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</si>
  <si>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</si>
  <si>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</si>
  <si>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</si>
  <si>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</si>
  <si>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</si>
  <si>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</si>
  <si>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</si>
  <si>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</si>
  <si>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</si>
  <si>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</si>
  <si>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</si>
  <si>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</si>
  <si>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</si>
  <si>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</si>
  <si>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</si>
  <si>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</si>
  <si>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</si>
  <si>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</si>
  <si>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</si>
  <si>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</si>
  <si>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</si>
  <si>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</si>
  <si>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</si>
  <si>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</si>
  <si>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</si>
  <si>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</si>
  <si>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</si>
  <si>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</si>
  <si>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</si>
  <si>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</si>
  <si>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</si>
  <si>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</si>
  <si>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</si>
  <si>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</si>
  <si>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</si>
  <si>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</si>
  <si>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</si>
  <si>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</si>
  <si>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</si>
  <si>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</si>
  <si>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</si>
  <si>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</si>
  <si>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</si>
  <si>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</si>
  <si>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</si>
  <si>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</si>
  <si>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</si>
  <si>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</si>
  <si>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</si>
  <si>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</si>
  <si>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</si>
  <si>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</si>
  <si>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</si>
  <si>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</si>
  <si>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</si>
  <si>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</si>
  <si>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</si>
  <si>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</si>
  <si>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</si>
  <si>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</si>
  <si>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</si>
  <si>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</si>
  <si>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</si>
  <si>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</si>
  <si>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</si>
  <si>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</si>
  <si>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</si>
  <si>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</si>
  <si>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</si>
  <si>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</si>
  <si>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</si>
  <si>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</si>
  <si>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</si>
  <si>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</si>
  <si>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</si>
  <si>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</si>
  <si>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</si>
  <si>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</si>
  <si>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</si>
  <si>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</si>
  <si>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</si>
  <si>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</si>
  <si>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</si>
  <si>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</si>
  <si>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</si>
  <si>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</si>
  <si>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</si>
  <si>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</si>
  <si>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</si>
  <si>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</si>
  <si>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</si>
  <si>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</si>
  <si>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</si>
  <si>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</si>
  <si>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</si>
  <si>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</si>
  <si>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</si>
  <si>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</si>
  <si>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</si>
  <si>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</si>
  <si>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</si>
  <si>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</si>
  <si>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</si>
  <si>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</si>
  <si>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</si>
  <si>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</si>
  <si>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</si>
  <si>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</si>
  <si>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</si>
  <si>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</si>
  <si>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</si>
  <si>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</si>
  <si>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</si>
  <si>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</si>
  <si>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</si>
  <si>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</si>
  <si>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</si>
  <si>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</si>
  <si>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</si>
  <si>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</si>
  <si>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</si>
  <si>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</si>
  <si>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</si>
  <si>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</si>
  <si>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</si>
  <si>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</si>
  <si>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</si>
  <si>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</si>
  <si>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</si>
  <si>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</si>
  <si>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</si>
  <si>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</si>
  <si>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</si>
  <si>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</si>
  <si>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</si>
  <si>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</si>
  <si>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</si>
  <si>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</si>
  <si>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</si>
  <si>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</si>
  <si>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</si>
  <si>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</si>
  <si>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</si>
  <si>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</si>
  <si>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</si>
  <si>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</si>
  <si>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</si>
  <si>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</si>
  <si>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</si>
  <si>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</si>
  <si>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</si>
  <si>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</si>
  <si>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</si>
  <si>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</si>
  <si>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</si>
  <si>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</si>
  <si>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</si>
  <si>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</si>
  <si>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</si>
  <si>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</si>
  <si>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</si>
  <si>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</si>
  <si>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</si>
  <si>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</si>
  <si>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</si>
  <si>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</si>
  <si>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</si>
  <si>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</si>
  <si>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</si>
  <si>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</si>
  <si>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</si>
  <si>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</si>
  <si>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</si>
  <si>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</si>
  <si>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</si>
  <si>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</si>
  <si>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</si>
  <si>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</si>
  <si>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</si>
  <si>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</si>
  <si>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</si>
  <si>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</si>
  <si>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</si>
  <si>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</si>
  <si>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</si>
  <si>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</si>
  <si>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</si>
  <si>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</si>
  <si>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</si>
  <si>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</si>
  <si>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</si>
  <si>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</si>
  <si>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</si>
  <si>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</si>
  <si>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</si>
  <si>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</si>
  <si>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</si>
  <si>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</si>
  <si>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</si>
  <si>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</si>
  <si>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</si>
  <si>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</si>
  <si>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</si>
  <si>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</si>
  <si>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</si>
  <si>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</si>
  <si>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</si>
  <si>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</si>
  <si>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</si>
  <si>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</si>
  <si>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</si>
  <si>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</si>
  <si>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</si>
  <si>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</si>
  <si>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</si>
  <si>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</si>
  <si>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</si>
  <si>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</si>
  <si>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</si>
  <si>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</si>
  <si>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</si>
  <si>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</si>
  <si>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</si>
  <si>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</si>
  <si>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</si>
  <si>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</si>
  <si>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</si>
  <si>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</si>
  <si>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</si>
  <si>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</si>
  <si>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</si>
  <si>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</si>
  <si>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</si>
  <si>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</si>
  <si>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</si>
  <si>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</si>
  <si>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</si>
  <si>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</si>
  <si>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</si>
  <si>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</si>
  <si>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</si>
  <si>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</si>
  <si>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</si>
  <si>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</si>
  <si>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</si>
  <si>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</si>
  <si>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</si>
  <si>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</si>
  <si>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</si>
  <si>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</si>
  <si>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</si>
  <si>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</si>
  <si>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</si>
  <si>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</si>
  <si>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</si>
  <si>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</si>
  <si>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</si>
  <si>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</si>
  <si>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</si>
  <si>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</si>
  <si>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</si>
  <si>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</si>
  <si>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</si>
  <si>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</si>
  <si>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</si>
  <si>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</si>
  <si>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</si>
  <si>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</si>
  <si>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</si>
  <si>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</si>
  <si>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</si>
  <si>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</si>
  <si>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</si>
  <si>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</si>
  <si>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</si>
  <si>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</si>
  <si>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</si>
  <si>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</si>
  <si>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</si>
  <si>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</si>
  <si>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</si>
  <si>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</si>
  <si>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</si>
  <si>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</si>
  <si>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</si>
  <si>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</si>
  <si>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</si>
  <si>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</si>
  <si>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</si>
  <si>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</si>
  <si>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</si>
  <si>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</si>
  <si>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</si>
  <si>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</si>
  <si>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</si>
  <si>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</si>
  <si>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</si>
  <si>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</si>
  <si>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</si>
  <si>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</si>
  <si>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</si>
  <si>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</si>
  <si>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</si>
  <si>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</si>
  <si>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</si>
  <si>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</si>
  <si>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</si>
  <si>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</si>
  <si>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</si>
  <si>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</si>
  <si>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</si>
  <si>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</si>
  <si>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</si>
  <si>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</si>
  <si>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</si>
  <si>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</si>
  <si>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</si>
  <si>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</si>
  <si>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</si>
  <si>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</si>
  <si>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</si>
  <si>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</si>
  <si>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</si>
  <si>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</si>
  <si>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</si>
  <si>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</si>
  <si>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</si>
  <si>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</si>
  <si>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</si>
  <si>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</si>
  <si>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</si>
  <si>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</si>
  <si>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</si>
  <si>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</si>
  <si>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</si>
  <si>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</si>
  <si>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</si>
  <si>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</si>
  <si>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</si>
  <si>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</si>
  <si>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</si>
  <si>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</si>
  <si>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</si>
  <si>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</si>
  <si>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</si>
  <si>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</si>
  <si>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</si>
  <si>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</si>
  <si>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</si>
  <si>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</si>
  <si>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</si>
  <si>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</si>
  <si>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</si>
  <si>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</si>
  <si>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</si>
  <si>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</si>
  <si>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</si>
  <si>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</si>
  <si>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</si>
  <si>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</si>
  <si>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</si>
  <si>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</si>
  <si>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</si>
  <si>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</si>
  <si>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</si>
  <si>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</si>
  <si>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</si>
  <si>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</si>
  <si>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</si>
  <si>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</si>
  <si>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</si>
  <si>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</si>
  <si>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</si>
  <si>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</si>
  <si>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</si>
  <si>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</si>
  <si>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</si>
  <si>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</si>
  <si>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</si>
  <si>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</si>
  <si>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</si>
  <si>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</si>
  <si>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</si>
  <si>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</si>
  <si>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</si>
  <si>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</si>
  <si>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</si>
  <si>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</si>
  <si>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</si>
  <si>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</si>
  <si>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</si>
  <si>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</si>
  <si>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</si>
  <si>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</si>
  <si>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</si>
  <si>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</si>
  <si>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</si>
  <si>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</si>
  <si>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</si>
  <si>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</si>
  <si>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</si>
  <si>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</si>
  <si>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</si>
  <si>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</si>
  <si>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</si>
  <si>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</si>
  <si>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</si>
  <si>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</si>
  <si>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</si>
  <si>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</si>
  <si>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</si>
  <si>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</si>
  <si>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</si>
  <si>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</si>
  <si>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</si>
  <si>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</si>
  <si>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</si>
  <si>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</si>
  <si>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</si>
  <si>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</si>
  <si>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</si>
  <si>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</si>
  <si>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</si>
  <si>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</si>
  <si>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</si>
  <si>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</si>
  <si>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</si>
  <si>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</si>
  <si>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</si>
  <si>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</si>
  <si>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</si>
  <si>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</si>
  <si>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</si>
  <si>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</si>
  <si>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</si>
  <si>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</si>
  <si>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</si>
  <si>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</si>
  <si>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</si>
  <si>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</si>
  <si>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</si>
  <si>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</si>
  <si>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</si>
  <si>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</si>
  <si>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</si>
  <si>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</si>
  <si>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</si>
  <si>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</si>
  <si>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</si>
  <si>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</si>
  <si>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</si>
  <si>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</si>
  <si>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</si>
  <si>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</si>
  <si>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</si>
  <si>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</si>
  <si>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</si>
  <si>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</si>
  <si>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</si>
  <si>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</si>
  <si>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</si>
  <si>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</si>
  <si>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</si>
  <si>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</si>
  <si>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</si>
  <si>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</si>
  <si>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</si>
  <si>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</si>
  <si>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</si>
  <si>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</si>
  <si>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</si>
  <si>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</si>
  <si>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</si>
  <si>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</si>
  <si>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</si>
  <si>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</si>
  <si>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</si>
  <si>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</si>
  <si>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</si>
  <si>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</si>
  <si>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</si>
  <si>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</si>
  <si>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</si>
  <si>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</si>
  <si>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</si>
  <si>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</si>
  <si>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</si>
  <si>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</si>
  <si>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</si>
  <si>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</si>
  <si>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</si>
  <si>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</si>
  <si>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</si>
  <si>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</si>
  <si>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</si>
  <si>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</si>
  <si>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</si>
  <si>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</si>
  <si>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</si>
  <si>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</si>
  <si>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</si>
  <si>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</si>
  <si>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</si>
  <si>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</si>
  <si>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</si>
  <si>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</si>
  <si>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</si>
  <si>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</si>
  <si>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</si>
  <si>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</si>
  <si>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</si>
  <si>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</si>
  <si>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</si>
  <si>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</si>
  <si>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</si>
  <si>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</si>
  <si>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</si>
  <si>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</si>
  <si>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</si>
  <si>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</si>
  <si>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</si>
  <si>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</si>
  <si>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</si>
  <si>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</si>
  <si>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</si>
  <si>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</si>
  <si>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</si>
  <si>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</si>
  <si>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</si>
  <si>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</si>
  <si>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</si>
  <si>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</si>
  <si>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</si>
  <si>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</si>
  <si>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</si>
  <si>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</si>
  <si>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</si>
  <si>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</si>
  <si>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</si>
  <si>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</si>
  <si>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</si>
  <si>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</si>
  <si>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</si>
  <si>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</si>
  <si>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</si>
  <si>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</si>
  <si>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</si>
  <si>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</si>
  <si>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</si>
  <si>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</si>
  <si>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</si>
  <si>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</si>
  <si>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</si>
  <si>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</si>
  <si>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</si>
  <si>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</si>
  <si>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</si>
  <si>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</si>
  <si>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</si>
  <si>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</si>
  <si>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</si>
  <si>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</si>
  <si>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</si>
  <si>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</si>
  <si>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</si>
  <si>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</si>
  <si>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</si>
  <si>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</si>
  <si>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</si>
  <si>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</si>
  <si>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</si>
  <si>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</si>
  <si>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</si>
  <si>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</si>
  <si>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</si>
  <si>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</si>
  <si>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</si>
  <si>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</si>
  <si>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</si>
  <si>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</si>
  <si>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</si>
  <si>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</si>
  <si>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</si>
  <si>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</si>
  <si>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</si>
  <si>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</si>
  <si>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</si>
  <si>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</si>
  <si>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</si>
  <si>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</si>
  <si>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</si>
  <si>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</si>
  <si>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</si>
  <si>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</si>
  <si>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</si>
  <si>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</si>
  <si>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</si>
  <si>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</si>
  <si>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</si>
  <si>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</si>
  <si>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</si>
  <si>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</si>
  <si>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</si>
  <si>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</si>
  <si>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</si>
  <si>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</si>
  <si>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</si>
  <si>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</si>
  <si>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</si>
  <si>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</si>
  <si>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</si>
  <si>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</si>
  <si>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</si>
  <si>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</si>
  <si>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</si>
  <si>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</si>
  <si>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</si>
  <si>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</si>
  <si>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</si>
  <si>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</si>
  <si>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</si>
  <si>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</si>
  <si>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</si>
  <si>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</si>
  <si>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</si>
  <si>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</si>
  <si>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</si>
  <si>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</si>
  <si>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</si>
  <si>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</si>
  <si>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</si>
  <si>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</si>
  <si>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</si>
  <si>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</si>
  <si>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</si>
  <si>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</si>
  <si>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</si>
  <si>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</si>
  <si>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</si>
  <si>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</si>
  <si>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</si>
  <si>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</si>
  <si>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</si>
  <si>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</si>
  <si>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</si>
  <si>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</si>
  <si>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</si>
  <si>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</si>
  <si>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</si>
  <si>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</si>
  <si>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</si>
  <si>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</si>
  <si>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</si>
  <si>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</si>
  <si>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</si>
  <si>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</si>
  <si>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</si>
  <si>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</si>
  <si>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</si>
  <si>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</si>
  <si>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</si>
  <si>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</si>
  <si>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</si>
  <si>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</si>
  <si>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</si>
  <si>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</si>
  <si>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</si>
  <si>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</si>
  <si>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</si>
  <si>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</si>
  <si>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</si>
  <si>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</si>
  <si>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</si>
  <si>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</si>
  <si>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</si>
  <si>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</si>
  <si>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</si>
  <si>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</si>
  <si>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</si>
  <si>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</si>
  <si>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</si>
  <si>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</si>
  <si>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</si>
  <si>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</si>
  <si>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</si>
  <si>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</si>
  <si>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</si>
  <si>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</si>
  <si>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</si>
  <si>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</si>
  <si>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</si>
  <si>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</si>
  <si>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</si>
  <si>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</si>
  <si>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</si>
  <si>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</si>
  <si>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</si>
  <si>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</si>
  <si>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</si>
  <si>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</si>
  <si>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</si>
  <si>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</si>
  <si>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</si>
  <si>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</si>
  <si>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</si>
  <si>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</si>
  <si>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</si>
  <si>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</si>
  <si>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</si>
  <si>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</si>
  <si>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</si>
  <si>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</si>
  <si>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</si>
  <si>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</si>
  <si>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</si>
  <si>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</si>
  <si>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</si>
  <si>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</si>
  <si>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</si>
  <si>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</si>
  <si>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</si>
  <si>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</si>
  <si>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</si>
  <si>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</si>
  <si>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</si>
  <si>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</si>
  <si>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</si>
  <si>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</si>
  <si>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</si>
  <si>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</si>
  <si>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</si>
  <si>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</si>
  <si>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</si>
  <si>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</si>
  <si>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</si>
  <si>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</si>
  <si>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</si>
  <si>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</si>
  <si>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</si>
  <si>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</si>
  <si>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</si>
  <si>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</si>
  <si>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</si>
  <si>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</si>
  <si>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</si>
  <si>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</si>
  <si>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</si>
  <si>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</si>
  <si>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</si>
  <si>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</si>
  <si>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</si>
  <si>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</si>
  <si>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</si>
  <si>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</si>
  <si>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</si>
  <si>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</si>
  <si>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</si>
  <si>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</si>
  <si>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</si>
  <si>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</si>
  <si>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</si>
  <si>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</si>
  <si>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</si>
  <si>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</si>
  <si>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</si>
  <si>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</si>
  <si>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</si>
  <si>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</si>
  <si>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</si>
  <si>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</si>
  <si>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</si>
  <si>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</si>
  <si>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</si>
  <si>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</si>
  <si>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</si>
  <si>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</si>
  <si>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</si>
  <si>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</si>
  <si>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</si>
  <si>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</si>
  <si>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</si>
  <si>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</si>
  <si>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</si>
  <si>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</si>
  <si>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</si>
  <si>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</si>
  <si>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</si>
  <si>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</si>
  <si>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</si>
  <si>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</si>
  <si>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</si>
  <si>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</si>
  <si>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</si>
  <si>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</si>
  <si>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</si>
  <si>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</si>
  <si>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</si>
  <si>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</si>
  <si>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</si>
  <si>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</si>
  <si>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</si>
  <si>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</si>
  <si>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</si>
  <si>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</si>
  <si>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</si>
  <si>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</si>
  <si>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</si>
  <si>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</si>
  <si>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</si>
  <si>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</si>
  <si>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</si>
  <si>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</si>
  <si>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</si>
  <si>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</si>
  <si>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</si>
  <si>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</si>
  <si>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</si>
  <si>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</si>
  <si>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</si>
  <si>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</si>
  <si>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</si>
  <si>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</si>
  <si>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</si>
  <si>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</si>
  <si>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</si>
  <si>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</si>
  <si>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</si>
  <si>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</si>
  <si>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</si>
  <si>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</si>
  <si>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</si>
  <si>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</si>
  <si>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</si>
  <si>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</si>
  <si>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</si>
  <si>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</si>
  <si>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</si>
  <si>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</si>
  <si>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</si>
  <si>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</si>
  <si>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</si>
  <si>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</si>
  <si>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</si>
  <si>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</si>
  <si>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</si>
  <si>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</si>
  <si>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</si>
  <si>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</si>
  <si>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</si>
  <si>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</si>
  <si>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</si>
  <si>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</si>
  <si>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</si>
  <si>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</si>
  <si>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</si>
  <si>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</si>
  <si>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</si>
  <si>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</si>
  <si>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</si>
  <si>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</si>
  <si>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</si>
  <si>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</si>
  <si>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</si>
  <si>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</si>
  <si>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</si>
  <si>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</si>
  <si>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</si>
  <si>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</si>
  <si>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</si>
  <si>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</si>
  <si>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</si>
  <si>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</si>
  <si>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</si>
  <si>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</si>
  <si>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</si>
  <si>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</si>
  <si>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</si>
  <si>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</si>
  <si>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</si>
  <si>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</si>
  <si>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</si>
  <si>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</si>
  <si>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</si>
  <si>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</si>
  <si>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</si>
  <si>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</si>
  <si>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</si>
  <si>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</si>
  <si>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</si>
  <si>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</si>
  <si>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</si>
  <si>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</si>
  <si>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</si>
  <si>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</si>
  <si>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</si>
  <si>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</si>
  <si>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</si>
  <si>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</si>
  <si>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</si>
  <si>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</si>
  <si>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</si>
  <si>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</si>
  <si>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</si>
  <si>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</si>
  <si>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</si>
  <si>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</si>
  <si>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</si>
  <si>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</si>
  <si>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</si>
  <si>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</si>
  <si>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</si>
  <si>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</si>
  <si>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</si>
  <si>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</si>
  <si>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</si>
  <si>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</si>
  <si>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</si>
  <si>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</si>
  <si>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</si>
  <si>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</si>
  <si>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</si>
  <si>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</si>
  <si>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</si>
  <si>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</si>
  <si>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</si>
  <si>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</si>
  <si>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</si>
  <si>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</si>
  <si>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</si>
  <si>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</si>
  <si>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</si>
  <si>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</si>
  <si>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</si>
  <si>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</si>
  <si>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</si>
  <si>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</si>
  <si>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</si>
  <si>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</si>
  <si>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</si>
  <si>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</si>
  <si>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</si>
  <si>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</si>
  <si>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</si>
  <si>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</si>
  <si>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</si>
  <si>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</si>
  <si>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</si>
  <si>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</si>
  <si>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</si>
  <si>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</si>
  <si>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</si>
  <si>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</si>
  <si>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</si>
  <si>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</si>
  <si>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</si>
  <si>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</si>
  <si>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</si>
  <si>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</si>
  <si>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</si>
  <si>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</si>
  <si>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</si>
  <si>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</si>
  <si>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</si>
  <si>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</si>
  <si>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</si>
  <si>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</si>
  <si>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</si>
  <si>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</si>
  <si>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</si>
  <si>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</si>
  <si>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</si>
  <si>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</si>
  <si>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</si>
  <si>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</si>
  <si>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</si>
  <si>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</si>
  <si>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</si>
  <si>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</si>
  <si>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</si>
  <si>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</si>
  <si>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</si>
  <si>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</si>
  <si>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</si>
  <si>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</si>
  <si>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</si>
  <si>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</si>
  <si>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</si>
  <si>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</si>
  <si>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</si>
  <si>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</si>
  <si>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</si>
  <si>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</si>
  <si>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</si>
  <si>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</si>
  <si>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</si>
  <si>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</si>
  <si>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</si>
  <si>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</si>
  <si>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</si>
  <si>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</si>
  <si>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</si>
  <si>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</si>
  <si>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</si>
  <si>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</si>
  <si>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</si>
  <si>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</si>
  <si>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</si>
  <si>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</si>
  <si>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</si>
  <si>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</si>
  <si>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</si>
  <si>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</si>
  <si>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</si>
  <si>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</si>
  <si>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</si>
  <si>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</si>
  <si>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</si>
  <si>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</si>
  <si>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</si>
  <si>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</si>
  <si>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</si>
  <si>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</si>
  <si>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</si>
  <si>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</si>
  <si>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</si>
  <si>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</si>
  <si>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</si>
  <si>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</si>
  <si>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</si>
  <si>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</si>
  <si>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</si>
  <si>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</si>
  <si>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</si>
  <si>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</si>
  <si>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</si>
  <si>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</si>
  <si>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</si>
  <si>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</si>
  <si>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</si>
  <si>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</si>
  <si>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</si>
  <si>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</si>
  <si>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</si>
  <si>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</si>
  <si>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</si>
  <si>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</si>
  <si>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</si>
  <si>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</si>
  <si>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</si>
  <si>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</si>
  <si>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</si>
  <si>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</si>
  <si>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</si>
  <si>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</si>
  <si>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</si>
  <si>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</si>
  <si>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</si>
  <si>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</si>
  <si>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</si>
  <si>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</si>
  <si>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</si>
  <si>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</si>
  <si>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</si>
  <si>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</si>
  <si>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</si>
  <si>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</si>
  <si>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</si>
  <si>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</si>
  <si>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</si>
  <si>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</si>
  <si>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</si>
  <si>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</si>
  <si>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</si>
  <si>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</si>
  <si>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</si>
  <si>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</si>
  <si>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</si>
  <si>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</si>
  <si>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</si>
  <si>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</si>
  <si>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</si>
  <si>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</si>
  <si>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</si>
  <si>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</si>
  <si>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</si>
  <si>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</si>
  <si>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</si>
  <si>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</si>
  <si>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</si>
  <si>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</si>
  <si>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</si>
  <si>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</si>
  <si>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</si>
  <si>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</si>
  <si>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</si>
  <si>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</si>
  <si>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</si>
  <si>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</si>
  <si>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</si>
  <si>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</si>
  <si>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</si>
  <si>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</si>
  <si>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</si>
  <si>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</si>
  <si>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</si>
  <si>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</si>
  <si>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</si>
  <si>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</si>
  <si>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</si>
  <si>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</si>
  <si>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</si>
  <si>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</si>
  <si>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</si>
  <si>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</si>
  <si>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</si>
  <si>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</si>
  <si>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</si>
  <si>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</si>
  <si>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</si>
  <si>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</si>
  <si>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</si>
  <si>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</si>
  <si>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</si>
  <si>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</si>
  <si>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</si>
  <si>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</si>
  <si>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</si>
  <si>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</si>
  <si>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</si>
  <si>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</si>
  <si>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</si>
  <si>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</si>
  <si>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</si>
  <si>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</si>
  <si>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</si>
  <si>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</si>
  <si>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</si>
  <si>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</si>
  <si>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</si>
  <si>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</si>
  <si>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</si>
  <si>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</si>
  <si>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</si>
  <si>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</si>
  <si>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</si>
  <si>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</si>
  <si>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</si>
  <si>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</si>
  <si>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</si>
  <si>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</si>
  <si>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</si>
  <si>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</si>
  <si>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</si>
  <si>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</si>
  <si>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</si>
  <si>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</si>
  <si>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</si>
  <si>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</si>
  <si>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</si>
  <si>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</si>
  <si>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</si>
  <si>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</si>
  <si>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</si>
  <si>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</si>
  <si>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</si>
  <si>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</si>
  <si>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</si>
  <si>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</si>
  <si>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</si>
  <si>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</si>
  <si>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</si>
  <si>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</si>
  <si>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</si>
  <si>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</si>
  <si>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</si>
  <si>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</si>
  <si>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</si>
  <si>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</si>
  <si>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</si>
  <si>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</si>
  <si>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</si>
  <si>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</si>
  <si>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</si>
  <si>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</si>
  <si>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</si>
  <si>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</si>
  <si>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</si>
  <si>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</si>
  <si>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</si>
  <si>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</si>
  <si>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</si>
  <si>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</si>
  <si>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</si>
  <si>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</si>
  <si>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</si>
  <si>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</si>
  <si>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</si>
  <si>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</si>
  <si>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</si>
  <si>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</si>
  <si>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</si>
  <si>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</si>
  <si>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</si>
  <si>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</si>
  <si>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</si>
  <si>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</si>
  <si>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</si>
  <si>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</si>
  <si>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</si>
  <si>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</si>
  <si>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</si>
  <si>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</si>
  <si>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</si>
  <si>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</si>
  <si>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</si>
  <si>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</si>
  <si>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</si>
  <si>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</si>
  <si>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</si>
  <si>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</si>
  <si>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</si>
  <si>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</si>
  <si>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</si>
  <si>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</si>
  <si>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</si>
  <si>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</si>
  <si>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</si>
  <si>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</si>
  <si>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</si>
  <si>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</si>
  <si>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</si>
  <si>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</si>
  <si>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</si>
  <si>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</si>
  <si>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</si>
  <si>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</si>
  <si>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</si>
  <si>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</si>
  <si>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</si>
  <si>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</si>
  <si>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</si>
  <si>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</si>
  <si>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</si>
  <si>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</si>
  <si>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</si>
  <si>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</si>
  <si>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</si>
  <si>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</si>
  <si>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</si>
  <si>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</si>
  <si>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</si>
  <si>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</si>
  <si>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</si>
  <si>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</si>
  <si>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</si>
  <si>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</si>
  <si>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</si>
  <si>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</si>
  <si>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</si>
  <si>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</si>
  <si>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</si>
  <si>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</si>
  <si>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</si>
  <si>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</si>
  <si>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</si>
  <si>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</si>
  <si>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</si>
  <si>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</si>
  <si>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</si>
  <si>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</si>
  <si>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</si>
  <si>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</si>
  <si>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</si>
  <si>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</si>
  <si>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</si>
  <si>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</si>
  <si>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</si>
  <si>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</si>
  <si>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</si>
  <si>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</si>
  <si>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</si>
  <si>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</si>
  <si>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</si>
  <si>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</si>
  <si>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</si>
  <si>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</si>
  <si>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</si>
  <si>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</si>
  <si>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</si>
  <si>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</si>
  <si>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</si>
  <si>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</si>
  <si>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</si>
  <si>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</si>
  <si>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</si>
  <si>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</si>
  <si>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</si>
  <si>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</si>
  <si>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</si>
  <si>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</si>
  <si>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</si>
  <si>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</si>
  <si>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</si>
  <si>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</si>
  <si>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</si>
  <si>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</si>
  <si>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</si>
  <si>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</si>
  <si>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</si>
  <si>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</si>
  <si>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</si>
  <si>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</si>
  <si>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</si>
  <si>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</si>
  <si>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</si>
  <si>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</si>
  <si>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</si>
  <si>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</si>
  <si>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</si>
  <si>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</si>
  <si>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</si>
  <si>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</si>
  <si>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</si>
  <si>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</si>
  <si>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</si>
  <si>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</si>
  <si>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</si>
  <si>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</si>
  <si>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</si>
  <si>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</si>
  <si>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</si>
  <si>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</si>
  <si>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</si>
  <si>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</si>
  <si>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</si>
  <si>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</si>
  <si>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</si>
  <si>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</si>
  <si>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</si>
  <si>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</si>
  <si>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</si>
  <si>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</si>
  <si>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</si>
  <si>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</si>
  <si>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</si>
  <si>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</si>
  <si>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</si>
  <si>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</si>
  <si>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</si>
  <si>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</si>
  <si>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</si>
  <si>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</si>
  <si>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</si>
  <si>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</si>
  <si>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</si>
  <si>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</si>
  <si>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</si>
  <si>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</si>
  <si>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</si>
  <si>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</si>
  <si>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</si>
  <si>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</si>
  <si>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</si>
  <si>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</si>
  <si>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</si>
  <si>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</si>
  <si>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</si>
  <si>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</si>
  <si>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</si>
  <si>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</si>
  <si>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</si>
  <si>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</si>
  <si>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</si>
  <si>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</si>
  <si>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</si>
  <si>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</si>
  <si>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</si>
  <si>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</si>
  <si>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</si>
  <si>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</si>
  <si>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</si>
  <si>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</si>
  <si>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</si>
  <si>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</si>
  <si>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</si>
  <si>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</si>
  <si>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</si>
  <si>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</si>
  <si>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</si>
  <si>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</si>
  <si>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</si>
  <si>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</si>
  <si>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</si>
  <si>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</si>
  <si>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</si>
  <si>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</si>
  <si>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</si>
  <si>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</si>
  <si>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</si>
  <si>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</si>
  <si>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</si>
  <si>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</si>
  <si>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</si>
  <si>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</si>
  <si>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</si>
  <si>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</si>
  <si>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</si>
  <si>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</si>
  <si>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</si>
  <si>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</si>
  <si>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</si>
  <si>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</si>
  <si>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</si>
  <si>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</si>
  <si>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</si>
  <si>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</si>
  <si>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</si>
  <si>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</si>
  <si>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</si>
  <si>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</si>
  <si>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</si>
  <si>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</si>
  <si>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</si>
  <si>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</si>
  <si>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</si>
  <si>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</si>
  <si>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</si>
  <si>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</si>
  <si>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</si>
  <si>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</si>
  <si>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</si>
  <si>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</si>
  <si>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</si>
  <si>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</si>
  <si>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</si>
  <si>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</si>
  <si>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</si>
  <si>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</si>
  <si>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</si>
  <si>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</si>
  <si>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</si>
  <si>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</si>
  <si>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</si>
  <si>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</si>
  <si>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</si>
  <si>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</si>
  <si>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</si>
  <si>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</si>
  <si>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</si>
  <si>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</si>
  <si>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</si>
  <si>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</si>
  <si>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</si>
  <si>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</si>
  <si>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</si>
  <si>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</si>
  <si>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</si>
  <si>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</si>
  <si>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</si>
  <si>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</si>
  <si>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</si>
  <si>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</si>
  <si>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</si>
  <si>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</si>
  <si>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</si>
  <si>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</si>
  <si>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</si>
  <si>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</si>
  <si>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</si>
  <si>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</si>
  <si>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</si>
  <si>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</si>
  <si>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</si>
  <si>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</si>
  <si>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</si>
  <si>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</si>
  <si>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</si>
  <si>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</si>
  <si>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</si>
  <si>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</si>
  <si>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</si>
  <si>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</si>
  <si>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</si>
  <si>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</si>
  <si>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</si>
  <si>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</si>
  <si>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</si>
  <si>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</si>
  <si>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</si>
  <si>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</si>
  <si>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</si>
  <si>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</si>
  <si>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</si>
  <si>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</si>
  <si>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</si>
  <si>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</si>
  <si>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</si>
  <si>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</si>
  <si>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</si>
  <si>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</si>
  <si>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</si>
  <si>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</si>
  <si>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</si>
  <si>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</si>
  <si>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</si>
  <si>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</si>
  <si>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</si>
  <si>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</si>
  <si>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</si>
  <si>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</si>
  <si>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</si>
  <si>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</si>
  <si>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</si>
  <si>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</si>
  <si>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</si>
  <si>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</si>
  <si>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</si>
  <si>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</si>
  <si>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</si>
  <si>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</si>
  <si>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</si>
  <si>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</si>
  <si>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</si>
  <si>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</si>
  <si>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</si>
  <si>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</si>
  <si>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</si>
  <si>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</si>
  <si>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</si>
  <si>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</si>
  <si>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</si>
  <si>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</si>
  <si>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</si>
  <si>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</si>
  <si>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</si>
  <si>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</si>
  <si>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</si>
  <si>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</si>
  <si>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</si>
  <si>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</si>
  <si>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</si>
  <si>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</si>
  <si>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</si>
  <si>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</si>
  <si>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</si>
  <si>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</si>
  <si>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</si>
  <si>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</si>
  <si>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</si>
  <si>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</si>
  <si>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</si>
  <si>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</si>
  <si>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</si>
  <si>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</si>
  <si>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</si>
  <si>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</si>
  <si>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</si>
  <si>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</si>
  <si>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</si>
  <si>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</si>
  <si>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</si>
  <si>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</si>
  <si>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</si>
  <si>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</si>
  <si>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</si>
  <si>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</si>
  <si>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</si>
  <si>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</si>
  <si>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</si>
  <si>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</si>
  <si>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</si>
  <si>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</si>
  <si>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</si>
  <si>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</si>
  <si>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</si>
  <si>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</si>
  <si>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</si>
  <si>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</si>
  <si>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</si>
  <si>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</si>
  <si>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</si>
  <si>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</si>
  <si>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</si>
  <si>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</si>
  <si>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</si>
  <si>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</si>
  <si>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</si>
  <si>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</si>
  <si>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</si>
  <si>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</si>
  <si>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</si>
  <si>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</si>
  <si>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</si>
  <si>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</si>
  <si>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</si>
  <si>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</si>
  <si>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</si>
  <si>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</si>
  <si>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</si>
  <si>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</si>
  <si>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</si>
  <si>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</si>
  <si>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</si>
  <si>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</si>
  <si>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</si>
  <si>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</si>
  <si>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</si>
  <si>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</si>
  <si>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</si>
  <si>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</si>
  <si>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</si>
  <si>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</si>
  <si>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</si>
  <si>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</si>
  <si>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</si>
  <si>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</si>
  <si>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</si>
  <si>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</si>
  <si>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</si>
  <si>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</si>
  <si>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</si>
  <si>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</si>
  <si>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</si>
  <si>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</si>
  <si>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</si>
  <si>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</si>
  <si>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</si>
  <si>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</si>
  <si>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</si>
  <si>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</si>
  <si>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</si>
  <si>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</si>
  <si>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</si>
  <si>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</si>
  <si>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</si>
  <si>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</si>
  <si>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</si>
  <si>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</si>
  <si>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</si>
  <si>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</si>
  <si>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</si>
  <si>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</si>
  <si>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</si>
  <si>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</si>
  <si>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</si>
  <si>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</si>
  <si>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</si>
  <si>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</si>
  <si>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</si>
  <si>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</si>
  <si>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</si>
  <si>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</si>
  <si>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</si>
  <si>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</si>
  <si>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</si>
  <si>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</si>
  <si>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</si>
  <si>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</si>
  <si>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</si>
  <si>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</si>
  <si>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</si>
  <si>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</si>
  <si>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</si>
  <si>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</si>
  <si>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</si>
  <si>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</si>
  <si>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</si>
  <si>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</si>
  <si>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</si>
  <si>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</si>
  <si>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</si>
  <si>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</si>
  <si>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</si>
  <si>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</si>
  <si>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</si>
  <si>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</si>
  <si>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</si>
  <si>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</si>
  <si>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</si>
  <si>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</si>
  <si>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</si>
  <si>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</si>
  <si>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</si>
  <si>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</si>
  <si>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</si>
  <si>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</si>
  <si>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</si>
  <si>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</si>
  <si>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</si>
  <si>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</si>
  <si>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</si>
  <si>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</si>
  <si>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</si>
  <si>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</si>
  <si>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</si>
  <si>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</si>
  <si>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</si>
  <si>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</si>
  <si>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</si>
  <si>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</si>
  <si>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</si>
  <si>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</si>
  <si>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</si>
  <si>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</si>
  <si>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</si>
  <si>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</si>
  <si>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</si>
  <si>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</si>
  <si>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</si>
  <si>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</si>
  <si>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</si>
  <si>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</si>
  <si>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</si>
  <si>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</si>
  <si>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</si>
  <si>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</si>
  <si>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</si>
  <si>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</si>
  <si>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</si>
  <si>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</si>
  <si>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</si>
  <si>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</si>
  <si>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</si>
  <si>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</si>
  <si>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</si>
  <si>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</si>
  <si>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</si>
  <si>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</si>
  <si>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</si>
  <si>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</si>
  <si>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</si>
  <si>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</si>
  <si>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</si>
  <si>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</si>
  <si>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</si>
  <si>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</si>
  <si>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</si>
  <si>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</si>
  <si>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</si>
  <si>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</si>
  <si>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</si>
  <si>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</si>
  <si>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</si>
  <si>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</si>
  <si>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</si>
  <si>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</si>
  <si>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</si>
  <si>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</si>
  <si>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</si>
  <si>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</si>
  <si>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</si>
  <si>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</si>
  <si>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</si>
  <si>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</si>
  <si>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</si>
  <si>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</si>
  <si>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</si>
  <si>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</si>
  <si>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</si>
  <si>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</si>
  <si>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</si>
  <si>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</si>
  <si>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</si>
  <si>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</si>
  <si>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</si>
  <si>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</si>
  <si>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</si>
  <si>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</si>
  <si>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</si>
  <si>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</si>
  <si>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</si>
  <si>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</si>
  <si>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</si>
  <si>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</si>
  <si>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</si>
  <si>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</si>
  <si>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</si>
  <si>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</si>
  <si>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</si>
  <si>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</si>
  <si>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</si>
  <si>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</si>
  <si>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</si>
  <si>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</si>
  <si>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</si>
  <si>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</si>
  <si>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</si>
  <si>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</si>
  <si>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</si>
  <si>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</si>
  <si>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</si>
  <si>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</si>
  <si>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</si>
  <si>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</si>
  <si>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</si>
  <si>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</si>
  <si>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</si>
  <si>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</si>
  <si>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</si>
  <si>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</si>
  <si>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</si>
  <si>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</si>
  <si>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</si>
  <si>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</si>
  <si>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</si>
  <si>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</si>
  <si>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</si>
  <si>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</si>
  <si>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</si>
  <si>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</si>
  <si>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</si>
  <si>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</si>
  <si>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</si>
  <si>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</si>
  <si>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</si>
  <si>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</si>
  <si>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</si>
  <si>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</si>
  <si>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</si>
  <si>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</si>
  <si>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</si>
  <si>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</si>
  <si>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</si>
  <si>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</si>
  <si>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</si>
  <si>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</si>
  <si>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</si>
  <si>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</si>
  <si>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</si>
  <si>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</si>
  <si>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</si>
  <si>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</si>
  <si>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</si>
  <si>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</si>
  <si>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</si>
  <si>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</si>
  <si>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</si>
  <si>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</si>
  <si>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</si>
  <si>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</si>
  <si>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</si>
  <si>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</si>
  <si>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</si>
  <si>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</si>
  <si>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</si>
  <si>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</si>
  <si>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</si>
  <si>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</si>
  <si>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</si>
  <si>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</si>
  <si>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</si>
  <si>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</si>
  <si>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</si>
  <si>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</si>
  <si>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</si>
  <si>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</si>
  <si>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</si>
  <si>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</si>
  <si>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</si>
  <si>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</si>
  <si>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</si>
  <si>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</si>
  <si>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</si>
  <si>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</si>
  <si>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</si>
  <si>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</si>
  <si>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</si>
  <si>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</si>
  <si>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</si>
  <si>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</si>
  <si>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</si>
  <si>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</si>
  <si>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</si>
  <si>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</si>
  <si>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</si>
  <si>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</si>
  <si>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</si>
  <si>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</si>
  <si>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</si>
  <si>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</si>
  <si>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</si>
  <si>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</si>
  <si>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</si>
  <si>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</si>
  <si>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</si>
  <si>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</si>
  <si>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</si>
  <si>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</si>
  <si>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</si>
  <si>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</si>
  <si>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</si>
  <si>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</si>
  <si>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</si>
  <si>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</si>
  <si>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</si>
  <si>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</si>
  <si>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</si>
  <si>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</si>
  <si>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</si>
  <si>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</si>
  <si>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</si>
  <si>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</si>
  <si>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</si>
  <si>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</si>
  <si>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</si>
  <si>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</si>
  <si>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</si>
  <si>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</si>
  <si>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</si>
  <si>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</si>
  <si>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</si>
  <si>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</si>
  <si>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</si>
  <si>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</si>
  <si>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</si>
  <si>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</si>
  <si>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</si>
  <si>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</si>
  <si>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</si>
  <si>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</si>
  <si>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</si>
  <si>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</si>
  <si>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</si>
  <si>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</si>
  <si>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</si>
  <si>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</si>
  <si>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</si>
  <si>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</si>
  <si>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</si>
  <si>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</si>
  <si>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</si>
  <si>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</si>
  <si>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</si>
  <si>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</si>
  <si>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</si>
  <si>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</si>
  <si>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</si>
  <si>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</si>
  <si>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</si>
  <si>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</si>
  <si>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</si>
  <si>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</si>
  <si>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</si>
  <si>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</si>
  <si>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</si>
  <si>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</si>
  <si>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</si>
  <si>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</si>
  <si>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</si>
  <si>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</si>
  <si>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</si>
  <si>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</si>
  <si>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</si>
  <si>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</si>
  <si>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</si>
  <si>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</si>
  <si>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</si>
  <si>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</si>
  <si>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</si>
  <si>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</si>
  <si>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</si>
  <si>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</si>
  <si>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</si>
  <si>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</si>
  <si>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</si>
  <si>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</si>
  <si>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</si>
  <si>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</si>
  <si>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</si>
  <si>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</si>
  <si>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</si>
  <si>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</si>
  <si>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</si>
  <si>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</si>
  <si>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</si>
  <si>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</si>
  <si>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</si>
  <si>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</si>
  <si>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</si>
  <si>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</si>
  <si>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</si>
  <si>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</si>
  <si>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</si>
  <si>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</si>
  <si>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</si>
  <si>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</si>
  <si>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</si>
  <si>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</si>
  <si>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</si>
  <si>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</si>
  <si>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</si>
  <si>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</si>
  <si>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</si>
  <si>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</si>
  <si>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</si>
  <si>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</si>
  <si>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</si>
  <si>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</si>
  <si>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</si>
  <si>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</si>
  <si>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</si>
  <si>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</si>
  <si>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</si>
  <si>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</si>
  <si>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</si>
  <si>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</si>
  <si>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</si>
  <si>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</si>
  <si>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</si>
  <si>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</si>
  <si>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</si>
  <si>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</si>
  <si>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</si>
  <si>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</si>
  <si>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</si>
  <si>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</si>
  <si>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</si>
  <si>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</si>
  <si>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</si>
  <si>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</si>
  <si>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</si>
  <si>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</si>
  <si>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</si>
  <si>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</si>
  <si>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</si>
  <si>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</si>
  <si>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</si>
  <si>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</si>
  <si>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</si>
  <si>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</si>
  <si>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</si>
  <si>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</si>
  <si>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</si>
  <si>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</si>
  <si>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</si>
  <si>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</si>
  <si>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</si>
  <si>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</si>
  <si>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</si>
  <si>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</si>
  <si>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</si>
  <si>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</si>
  <si>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</si>
  <si>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</si>
  <si>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</si>
  <si>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</si>
  <si>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</si>
  <si>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</si>
  <si>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</si>
  <si>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</si>
  <si>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</si>
  <si>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</si>
  <si>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</si>
  <si>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</si>
  <si>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</si>
  <si>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</si>
  <si>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</si>
  <si>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</si>
  <si>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</si>
  <si>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</si>
  <si>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</si>
  <si>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</si>
  <si>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</si>
  <si>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</si>
  <si>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</si>
  <si>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</si>
  <si>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</si>
  <si>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</si>
  <si>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</si>
  <si>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</si>
  <si>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</si>
  <si>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</si>
  <si>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</si>
  <si>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</si>
  <si>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</si>
  <si>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</si>
  <si>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</si>
  <si>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</si>
  <si>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</si>
  <si>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</si>
  <si>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</si>
  <si>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</si>
  <si>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</si>
  <si>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</si>
  <si>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</si>
  <si>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</si>
  <si>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</si>
  <si>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</si>
  <si>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</si>
  <si>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</si>
  <si>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</si>
  <si>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</si>
  <si>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</si>
  <si>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</si>
  <si>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</si>
  <si>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</si>
  <si>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</si>
  <si>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</si>
  <si>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</si>
  <si>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</si>
  <si>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</si>
  <si>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</si>
  <si>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</si>
  <si>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</si>
  <si>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</si>
  <si>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</si>
  <si>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</si>
  <si>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</si>
  <si>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</si>
  <si>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</si>
  <si>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</si>
  <si>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</si>
  <si>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</si>
  <si>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</si>
  <si>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</si>
  <si>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</si>
  <si>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</si>
  <si>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</si>
  <si>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</si>
  <si>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</si>
  <si>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</si>
  <si>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</si>
  <si>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</si>
  <si>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</si>
  <si>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</si>
  <si>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</si>
  <si>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</si>
  <si>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</si>
  <si>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</si>
  <si>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</si>
  <si>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</si>
  <si>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</si>
  <si>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</si>
  <si>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</si>
  <si>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</si>
  <si>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</si>
  <si>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</si>
  <si>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</si>
  <si>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</si>
  <si>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</si>
  <si>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</si>
  <si>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</si>
  <si>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</si>
  <si>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</si>
  <si>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</si>
  <si>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</si>
  <si>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</si>
  <si>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</si>
  <si>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</si>
  <si>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</si>
  <si>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</si>
  <si>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</si>
  <si>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</si>
  <si>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</si>
  <si>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</si>
  <si>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</si>
  <si>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</si>
  <si>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</si>
  <si>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</si>
  <si>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</si>
  <si>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</si>
  <si>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</si>
  <si>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</si>
  <si>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</si>
  <si>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</si>
  <si>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</si>
  <si>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</si>
  <si>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</si>
  <si>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</si>
  <si>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</si>
  <si>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</si>
  <si>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</si>
  <si>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</si>
  <si>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</si>
  <si>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</si>
  <si>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</si>
  <si>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</si>
  <si>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</si>
  <si>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</si>
  <si>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</si>
  <si>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</si>
  <si>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</si>
  <si>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</si>
  <si>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</si>
  <si>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</si>
  <si>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</si>
  <si>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</si>
  <si>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</si>
  <si>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</si>
  <si>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</si>
  <si>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</si>
  <si>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</si>
  <si>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</si>
  <si>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</si>
  <si>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</si>
  <si>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</si>
  <si>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</si>
  <si>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</si>
  <si>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</si>
  <si>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</si>
  <si>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</si>
  <si>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</si>
  <si>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</si>
  <si>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</si>
  <si>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</si>
  <si>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</si>
  <si>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</si>
  <si>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</si>
  <si>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</si>
  <si>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</si>
  <si>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</si>
  <si>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</si>
  <si>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</si>
  <si>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</si>
  <si>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</si>
  <si>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</si>
  <si>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</si>
  <si>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</si>
  <si>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</si>
  <si>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</si>
  <si>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</si>
  <si>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</si>
  <si>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</si>
  <si>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</si>
  <si>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</si>
  <si>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</si>
  <si>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</si>
  <si>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</si>
  <si>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</si>
  <si>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</si>
  <si>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</si>
  <si>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</si>
  <si>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</si>
  <si>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</si>
  <si>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</si>
  <si>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</si>
  <si>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</si>
  <si>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</si>
  <si>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</si>
  <si>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</si>
  <si>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</si>
  <si>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</si>
  <si>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</si>
  <si>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</si>
  <si>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</si>
  <si>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</si>
  <si>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</si>
  <si>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</si>
  <si>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</si>
  <si>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</si>
  <si>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</si>
  <si>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</si>
  <si>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</si>
  <si>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</si>
  <si>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</si>
  <si>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</si>
  <si>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</si>
  <si>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</si>
  <si>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</si>
  <si>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</si>
  <si>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</si>
  <si>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</si>
  <si>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</si>
  <si>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</si>
  <si>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</si>
  <si>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</si>
  <si>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</si>
  <si>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</si>
  <si>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</si>
  <si>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</si>
  <si>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</si>
  <si>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</si>
  <si>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</si>
  <si>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</si>
  <si>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</si>
  <si>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</si>
  <si>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</si>
  <si>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</si>
  <si>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</si>
  <si>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</si>
  <si>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</si>
  <si>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</si>
  <si>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</si>
  <si>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</si>
  <si>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</si>
  <si>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</si>
  <si>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</si>
  <si>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</si>
  <si>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</si>
  <si>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</si>
  <si>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</si>
  <si>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</si>
  <si>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</si>
  <si>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</si>
  <si>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</si>
  <si>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</si>
  <si>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</si>
  <si>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</si>
  <si>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</si>
  <si>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</si>
  <si>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</si>
  <si>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</si>
  <si>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</si>
  <si>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</si>
  <si>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</si>
  <si>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</si>
  <si>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</si>
  <si>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</si>
  <si>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</si>
  <si>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</si>
  <si>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</si>
  <si>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</si>
  <si>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</si>
  <si>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</si>
  <si>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</si>
  <si>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</si>
  <si>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</si>
  <si>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</si>
  <si>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</si>
  <si>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</si>
  <si>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</si>
  <si>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</si>
  <si>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</si>
  <si>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</si>
  <si>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</si>
  <si>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</si>
  <si>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</si>
  <si>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</si>
  <si>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</si>
  <si>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</si>
  <si>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</si>
  <si>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</si>
  <si>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</si>
  <si>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</si>
  <si>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</si>
  <si>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</si>
  <si>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</si>
  <si>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</si>
  <si>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</si>
  <si>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</si>
  <si>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</si>
  <si>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</si>
  <si>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</si>
  <si>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</si>
  <si>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</si>
  <si>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</si>
  <si>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</si>
  <si>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</si>
  <si>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</si>
  <si>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</si>
  <si>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</si>
  <si>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</si>
  <si>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</si>
  <si>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</si>
  <si>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</si>
  <si>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</si>
  <si>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</si>
  <si>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</si>
  <si>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</si>
  <si>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</si>
  <si>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</si>
  <si>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</si>
  <si>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</si>
  <si>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</si>
  <si>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</si>
  <si>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</si>
  <si>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</si>
  <si>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</si>
  <si>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</si>
  <si>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</si>
  <si>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</si>
  <si>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</si>
  <si>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</si>
  <si>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</si>
  <si>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</si>
  <si>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</si>
  <si>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</si>
  <si>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</si>
  <si>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</si>
  <si>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</si>
  <si>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</si>
  <si>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</si>
  <si>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</si>
  <si>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</si>
  <si>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</si>
  <si>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</si>
  <si>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</si>
  <si>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</si>
  <si>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</si>
  <si>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</si>
  <si>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</si>
  <si>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</si>
  <si>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</si>
  <si>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</si>
  <si>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</si>
  <si>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</si>
  <si>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</si>
  <si>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</si>
  <si>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</si>
  <si>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</si>
  <si>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</si>
  <si>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</si>
  <si>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</si>
  <si>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</si>
  <si>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</si>
  <si>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</si>
  <si>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</si>
  <si>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</si>
  <si>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</si>
  <si>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</si>
  <si>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</si>
  <si>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</si>
  <si>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</si>
  <si>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</si>
  <si>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</si>
  <si>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</si>
  <si>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</si>
  <si>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</si>
  <si>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</si>
  <si>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</si>
  <si>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</si>
  <si>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</si>
  <si>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</si>
  <si>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</si>
  <si>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</si>
  <si>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</si>
  <si>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</si>
  <si>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</si>
  <si>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</si>
  <si>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</si>
  <si>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</si>
  <si>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</si>
  <si>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</si>
  <si>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</si>
  <si>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</si>
  <si>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</si>
  <si>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</si>
  <si>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</si>
  <si>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</si>
  <si>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</si>
  <si>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</si>
  <si>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</si>
  <si>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</si>
  <si>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</si>
  <si>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</si>
  <si>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</si>
  <si>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</si>
  <si>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</si>
  <si>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</si>
  <si>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</si>
  <si>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</si>
  <si>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</si>
  <si>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</si>
  <si>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</t>
  </si>
  <si>
    <t>Value</t>
  </si>
  <si>
    <t>Total Rows</t>
  </si>
  <si>
    <t>Mean TotalPrice</t>
  </si>
  <si>
    <t>No Coupon</t>
  </si>
  <si>
    <t>Median TotalPrice</t>
  </si>
  <si>
    <t>Maximum TotalPrice</t>
  </si>
  <si>
    <t>Minimum TotalPrice</t>
  </si>
  <si>
    <t>Count of Orders</t>
  </si>
  <si>
    <t>Analysis</t>
  </si>
  <si>
    <t>Observation</t>
  </si>
  <si>
    <t>Average Order Value</t>
  </si>
  <si>
    <t>Median Order Value</t>
  </si>
  <si>
    <t>Highest Order Value</t>
  </si>
  <si>
    <t>Lowest Order Value</t>
  </si>
  <si>
    <t>Total Orders</t>
  </si>
  <si>
    <t>Distribution</t>
  </si>
  <si>
    <t>Mean &gt; Median → Right Skewed</t>
  </si>
  <si>
    <t>Outliers</t>
  </si>
  <si>
    <t>Business Insight</t>
  </si>
  <si>
    <t>Maximum value (3456.40) is much higher than median (823.62)</t>
  </si>
  <si>
    <t>Order values are concentrated below mean with few high-value orders</t>
  </si>
  <si>
    <t>Observation ID</t>
  </si>
  <si>
    <t>Finding</t>
  </si>
  <si>
    <t>OBS001</t>
  </si>
  <si>
    <t>Dataset contains 1200 total orders</t>
  </si>
  <si>
    <t>OBS002</t>
  </si>
  <si>
    <t>Average order value is 1053.97</t>
  </si>
  <si>
    <t>OBS003</t>
  </si>
  <si>
    <t>Median order value is 823.62</t>
  </si>
  <si>
    <t>OBS004</t>
  </si>
  <si>
    <t>Highest order value is 3456.40</t>
  </si>
  <si>
    <t>OBS005</t>
  </si>
  <si>
    <t>Lowest order value is 11.39</t>
  </si>
  <si>
    <t>OBS006</t>
  </si>
  <si>
    <t>Data distribution is right skewed</t>
  </si>
  <si>
    <t>OBS007</t>
  </si>
  <si>
    <t>Few high-value orders influence the average</t>
  </si>
  <si>
    <t>OBS008</t>
  </si>
  <si>
    <t>Dataset is ready for further analysis</t>
  </si>
  <si>
    <t>Row Labels</t>
  </si>
  <si>
    <t>Grand Total</t>
  </si>
  <si>
    <t>Sum of TotalPrice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</si>
  <si>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</si>
  <si>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</si>
  <si>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</si>
  <si>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</si>
  <si>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</si>
  <si>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</si>
  <si>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</si>
  <si>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</si>
  <si>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</si>
  <si>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</si>
  <si>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</si>
  <si>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</si>
  <si>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</si>
  <si>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</si>
  <si>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</si>
  <si>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OrderID</t>
  </si>
  <si>
    <t>Average of TotalPrice2</t>
  </si>
  <si>
    <t>Average of Quantity</t>
  </si>
  <si>
    <t>Average of UnitPrice</t>
  </si>
  <si>
    <t xml:space="preserve">Section            </t>
  </si>
  <si>
    <t xml:space="preserve"> Key Insights</t>
  </si>
  <si>
    <t xml:space="preserve">Payment Methods    </t>
  </si>
  <si>
    <t xml:space="preserve"> Credit Card has the highest average order value. Online payments strong in volume but lower spend. Cash/Debit steady contributors.</t>
  </si>
  <si>
    <t xml:space="preserve">Coupon Codes       </t>
  </si>
  <si>
    <t xml:space="preserve"> FREESHIP drives the most orders &amp; revenue. NO_COUPON shows strong organic demand. WINTER15 discount lowers average order value.</t>
  </si>
  <si>
    <t xml:space="preserve">Products           </t>
  </si>
  <si>
    <t xml:space="preserve"> Laptops &amp; Smartphones dominate revenue. Accessories (Headphones, Smartwatches) sell in higher volume but contribute less revenue. Avg Unit Price highlights premium vs budget positioning.</t>
  </si>
  <si>
    <t xml:space="preserve">Sales Trends       </t>
  </si>
  <si>
    <t xml:space="preserve"> Revenue grows steadily month‑on‑month with seasonal peaks. March &amp; May are high‑demand months. Useful for forecasting inventory &amp; marketing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</si>
</sst>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[2.2 Dataset for Data Analytics (1).xlsx]Payment Analysis!PivotTable6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580927384077"/>
          <c:y val="0.15175707203266259"/>
          <c:w val="0.55751071741032376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'Payment Analysis'!$B$3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Analysis'!$B$4:$B$9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D-4CDA-994E-A0231CAC3879}"/>
            </c:ext>
          </c:extLst>
        </c:ser>
        <c:ser>
          <c:idx val="1"/>
          <c:order val="1"/>
          <c:tx>
            <c:strRef>
              <c:f>'Payment Analysis'!$C$3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Analysis'!$C$4:$C$9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D-4CDA-994E-A0231CAC3879}"/>
            </c:ext>
          </c:extLst>
        </c:ser>
        <c:ser>
          <c:idx val="2"/>
          <c:order val="2"/>
          <c:tx>
            <c:strRef>
              <c:f>'Payment Analysis'!$D$3</c:f>
              <c:strCache>
                <c:ptCount val="1"/>
                <c:pt idx="0">
                  <c:v>Average of TotalPrice2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'Payment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Analysis'!$D$4:$D$9</c:f>
              <c:numCache>
                <c:formatCode>General</c:formatCode>
                <c:ptCount val="5"/>
                <c:pt idx="0">
                  <c:v>1056.0418292682923</c:v>
                </c:pt>
                <c:pt idx="1">
                  <c:v>1127.5539743589738</c:v>
                </c:pt>
                <c:pt idx="2">
                  <c:v>1001.5568103448275</c:v>
                </c:pt>
                <c:pt idx="3">
                  <c:v>1070.9735652173918</c:v>
                </c:pt>
                <c:pt idx="4">
                  <c:v>1017.2206976744191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D-4CDA-994E-A0231CAC3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267967"/>
        <c:axId val="1654252127"/>
      </c:barChart>
      <c:catAx>
        <c:axId val="16542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52127"/>
        <c:crosses val="autoZero"/>
        <c:auto val="1"/>
        <c:lblAlgn val="ctr"/>
        <c:lblOffset val="100"/>
        <c:noMultiLvlLbl val="0"/>
      </c:catAx>
      <c:valAx>
        <c:axId val="16542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6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[2.2 Dataset for Data Analytics (1).xlsx]Coupon Analysis!PivotTable8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'Coupon Analysis'!$B$3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'Coupon Analysis'!$A$4:$A$8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'Coupon Analysis'!$B$4:$B$8</c:f>
              <c:numCache>
                <c:formatCode>"₹"\ #,##0.00</c:formatCode>
                <c:ptCount val="4"/>
                <c:pt idx="0">
                  <c:v>335036.99000000028</c:v>
                </c:pt>
                <c:pt idx="1">
                  <c:v>322401.40999999992</c:v>
                </c:pt>
                <c:pt idx="2">
                  <c:v>304840.02</c:v>
                </c:pt>
                <c:pt idx="3">
                  <c:v>302483.54000000021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3-465B-807A-D96A02A1ADF7}"/>
            </c:ext>
          </c:extLst>
        </c:ser>
        <c:ser>
          <c:idx val="1"/>
          <c:order val="1"/>
          <c:tx>
            <c:strRef>
              <c:f>'Coupon Analysis'!$C$3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'Coupon Analysis'!$A$4:$A$8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'Coupon Analysis'!$C$4:$C$8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3-465B-807A-D96A02A1ADF7}"/>
            </c:ext>
          </c:extLst>
        </c:ser>
        <c:ser>
          <c:idx val="2"/>
          <c:order val="2"/>
          <c:tx>
            <c:strRef>
              <c:f>'Coupon Analysis'!$D$3</c:f>
              <c:strCache>
                <c:ptCount val="1"/>
                <c:pt idx="0">
                  <c:v>Average of TotalPrice2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'Coupon Analysis'!$A$4:$A$8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'Coupon Analysis'!$D$4:$D$8</c:f>
              <c:numCache>
                <c:formatCode>"₹"\ #,##0.00</c:formatCode>
                <c:ptCount val="4"/>
                <c:pt idx="0">
                  <c:v>1070.4057188498412</c:v>
                </c:pt>
                <c:pt idx="1">
                  <c:v>1043.3702588996762</c:v>
                </c:pt>
                <c:pt idx="2">
                  <c:v>1065.8741958041958</c:v>
                </c:pt>
                <c:pt idx="3">
                  <c:v>1035.9025342465761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43-465B-807A-D96A02A1A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0857263"/>
        <c:axId val="1150859183"/>
      </c:barChart>
      <c:catAx>
        <c:axId val="115085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59183"/>
        <c:crosses val="autoZero"/>
        <c:auto val="1"/>
        <c:lblAlgn val="ctr"/>
        <c:lblOffset val="100"/>
        <c:noMultiLvlLbl val="0"/>
      </c:catAx>
      <c:valAx>
        <c:axId val="115085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[2.2 Dataset for Data Analytics (1).xlsx]Product Analysis!PivotTable10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 Analysis'!$A$2:$A$9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Analysis'!$B$2:$B$9</c:f>
              <c:numCache>
                <c:formatCode>"₹"\ 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D-4A87-8B1F-BB4A42F82481}"/>
            </c:ext>
          </c:extLst>
        </c:ser>
        <c:ser>
          <c:idx val="1"/>
          <c:order val="1"/>
          <c:tx>
            <c:strRef>
              <c:f>'Product Analysis'!$C$1</c:f>
              <c:strCache>
                <c:ptCount val="1"/>
                <c:pt idx="0">
                  <c:v>Average of UnitPrice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'Product Analysis'!$A$2:$A$9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Analysis'!$C$2:$C$9</c:f>
              <c:numCache>
                <c:formatCode>"₹"\ #,##0.00</c:formatCode>
                <c:ptCount val="7"/>
                <c:pt idx="0">
                  <c:v>355.66028089887641</c:v>
                </c:pt>
                <c:pt idx="1">
                  <c:v>351.71491712707183</c:v>
                </c:pt>
                <c:pt idx="2">
                  <c:v>357.70705202312138</c:v>
                </c:pt>
                <c:pt idx="3">
                  <c:v>367.67910614525141</c:v>
                </c:pt>
                <c:pt idx="4">
                  <c:v>358.66361963190184</c:v>
                </c:pt>
                <c:pt idx="5">
                  <c:v>329.6081176470588</c:v>
                </c:pt>
                <c:pt idx="6">
                  <c:v>375.2175641025641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D-4A87-8B1F-BB4A42F82481}"/>
            </c:ext>
          </c:extLst>
        </c:ser>
        <c:ser>
          <c:idx val="2"/>
          <c:order val="2"/>
          <c:tx>
            <c:strRef>
              <c:f>'Product Analysis'!$D$1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'Product Analysis'!$A$2:$A$9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Analysis'!$D$2:$D$9</c:f>
              <c:numCache>
                <c:formatCode>"₹"\ #,##0.0</c:formatCode>
                <c:ptCount val="7"/>
                <c:pt idx="0">
                  <c:v>3.1573033707865168</c:v>
                </c:pt>
                <c:pt idx="1">
                  <c:v>2.9944751381215471</c:v>
                </c:pt>
                <c:pt idx="2">
                  <c:v>3.0924855491329479</c:v>
                </c:pt>
                <c:pt idx="3">
                  <c:v>2.7765363128491618</c:v>
                </c:pt>
                <c:pt idx="4">
                  <c:v>2.9447852760736195</c:v>
                </c:pt>
                <c:pt idx="5">
                  <c:v>2.9882352941176471</c:v>
                </c:pt>
                <c:pt idx="6">
                  <c:v>2.6346153846153846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3D-4A87-8B1F-BB4A42F8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6081200"/>
        <c:axId val="1296081680"/>
        <c:axId val="2039804159"/>
      </c:bar3DChart>
      <c:catAx>
        <c:axId val="129608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81680"/>
        <c:crosses val="autoZero"/>
        <c:auto val="1"/>
        <c:lblAlgn val="ctr"/>
        <c:lblOffset val="100"/>
        <c:noMultiLvlLbl val="0"/>
      </c:catAx>
      <c:valAx>
        <c:axId val="12960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81200"/>
        <c:crosses val="autoZero"/>
        <c:crossBetween val="between"/>
      </c:valAx>
      <c:serAx>
        <c:axId val="2039804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8168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[2.2 Dataset for Data Analytics (1).xlsx]Sales Trend!PivotTable12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Trend'!$B$1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'Sales Trend'!$B$2:$B$35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D-4697-B51C-E8BB9AF65AE1}"/>
            </c:ext>
          </c:extLst>
        </c:ser>
        <c:ser>
          <c:idx val="1"/>
          <c:order val="1"/>
          <c:tx>
            <c:strRef>
              <c:f>'Sales Trend'!$C$1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'Sales Trend'!$A$2:$A$35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'Sales Trend'!$C$2:$C$35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D-4697-B51C-E8BB9AF65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225311"/>
        <c:axId val="761225791"/>
      </c:lineChart>
      <c:catAx>
        <c:axId val="76122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25791"/>
        <c:crosses val="autoZero"/>
        <c:auto val="1"/>
        <c:lblAlgn val="ctr"/>
        <c:lblOffset val="100"/>
        <c:noMultiLvlLbl val="0"/>
      </c:catAx>
      <c:valAx>
        <c:axId val="76122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2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</xdr:row>
      <xdr:rowOff>114300</xdr:rowOff>
    </xdr:from>
    <xdr:to>
      <xdr:col>12</xdr:col>
      <xdr:colOff>68580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52A96-5294-C4DF-7925-75FCDDF30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30480</xdr:rowOff>
    </xdr:from>
    <xdr:to>
      <xdr:col>11</xdr:col>
      <xdr:colOff>571500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8156D-DC5F-E575-DE42-951A16EDE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1043940</xdr:colOff>
      <xdr:row>0</xdr:row>
      <xdr:rowOff>137160</xdr:rowOff>
    </xdr:from>
    <xdr:to>
      <xdr:col>12</xdr:col>
      <xdr:colOff>106680</xdr:colOff>
      <xdr:row>15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B3306-2010-4F3C-2706-66EE44549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3</xdr:row>
      <xdr:rowOff>76200</xdr:rowOff>
    </xdr:from>
    <xdr:to>
      <xdr:col>8</xdr:col>
      <xdr:colOff>281940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F6940-339B-6A6B-E63E-3F9846AFD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heer Shilam" refreshedDate="46168.873029050927" backgroundQuery="1" createdVersion="8" refreshedVersion="8" minRefreshableVersion="3" recordCount="0" supportSubquery="1" supportAdvancedDrill="1" xr:uid="{DADBBBD1-1406-414C-8B75-681B16EC67A7}">
  <cacheSource type="external" connectionId="1"/>
  <cacheFields count="4">
    <cacheField name="[Table1].[CouponCode].[CouponCode]" caption="CouponCode" numFmtId="0" hierarchy="12" level="1">
      <sharedItems count="4">
        <s v="FREESHIP"/>
        <s v="No Coupon"/>
        <s v="SAVE10"/>
        <s v="WINTER15"/>
      </sharedItems>
    </cacheField>
    <cacheField name="[Measures].[Sum of TotalPrice]" caption="Sum of TotalPrice" numFmtId="0" hierarchy="22" level="32767"/>
    <cacheField name="[Measures].[Count of OrderID]" caption="Count of OrderID" numFmtId="0" hierarchy="26" level="32767"/>
    <cacheField name="[Measures].[Average of TotalPrice]" caption="Average of TotalPrice" numFmtId="0" hierarchy="27" level="32767"/>
  </cacheFields>
  <cacheHierarchies count="32"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 (Quarter)]" caption="Count of Date (Quarter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Date (Month)]" caption="Count of Date (Month)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heer Shilam" refreshedDate="46168.892120023149" backgroundQuery="1" createdVersion="8" refreshedVersion="8" minRefreshableVersion="3" recordCount="0" supportSubquery="1" supportAdvancedDrill="1" xr:uid="{EAFCAA36-3BA0-4C86-B6A6-95AC219DC1D2}">
  <cacheSource type="external" connectionId="1"/>
  <cacheFields count="4">
    <cacheField name="[Table1].[Date (Year)].[Date (Year)]" caption="Date (Year)" numFmtId="0" hierarchy="15" level="1">
      <sharedItems count="3">
        <s v="2023"/>
        <s v="2024"/>
        <s v="2025"/>
      </sharedItems>
    </cacheField>
    <cacheField name="[Measures].[Sum of TotalPrice]" caption="Sum of TotalPrice" numFmtId="0" hierarchy="22" level="32767"/>
    <cacheField name="[Table1].[Date (Month)].[Date (Month)]" caption="Date (Month)" numFmtId="0" hierarchy="1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OrderID]" caption="Count of OrderID" numFmtId="0" hierarchy="26" level="32767"/>
  </cacheFields>
  <cacheHierarchies count="32"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Table1].[OrderID]" caption="OrderID" attribute="1" defaultMemberUniqueName="[Table1].[OrderID].[All]" allUniqueName="[Table1].[OrderID].[All]" dimensionUniqueName="[Table1]" displayFolder="" count="2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ate (Quarter)]" caption="Date (Quarter)" attribute="1" defaultMemberUniqueName="[Table1].[Date (Quarter)].[All]" allUniqueName="[Table1].[Date (Quarter)].[All]" dimensionUniqueName="[Table1]" displayFolder="" count="2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 (Quarter)]" caption="Count of Date (Quarter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Date (Month)]" caption="Count of Date (Month)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heer Shilam" refreshedDate="46168.897597916664" backgroundQuery="1" createdVersion="8" refreshedVersion="8" minRefreshableVersion="3" recordCount="0" supportSubquery="1" supportAdvancedDrill="1" xr:uid="{1DC40FBA-FFE9-48CC-BB76-BC3833ED9631}">
  <cacheSource type="external" connectionId="1"/>
  <cacheFields count="4">
    <cacheField name="[Table1].[Product].[Product]" caption="Product" numFmtId="0" hierarchy="4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2" level="32767"/>
    <cacheField name="[Measures].[Average of Quantity]" caption="Average of Quantity" numFmtId="0" hierarchy="28" level="32767"/>
    <cacheField name="[Measures].[Average of UnitPrice]" caption="Average of UnitPrice" numFmtId="0" hierarchy="29" level="32767"/>
  </cacheFields>
  <cacheHierarchies count="32"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Quantity]" caption="Average of Quant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Price]" caption="Average of UnitPric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 (Quarter)]" caption="Count of Date (Quarter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Date (Month)]" caption="Count of Date (Month)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heer Shilam" refreshedDate="46168.898408680558" backgroundQuery="1" createdVersion="8" refreshedVersion="8" minRefreshableVersion="3" recordCount="0" supportSubquery="1" supportAdvancedDrill="1" xr:uid="{06CEC3F2-5E8C-4BD9-998D-F027344DB372}">
  <cacheSource type="external" connectionId="1"/>
  <cacheFields count="4">
    <cacheField name="[Table1].[PaymentMethod].[PaymentMethod]" caption="PaymentMethod" numFmtId="0" hierarchy="8" level="1">
      <sharedItems count="5">
        <s v="Cash"/>
        <s v="Credit Card"/>
        <s v="Debit Card"/>
        <s v="Gift Card"/>
        <s v="Online"/>
      </sharedItems>
    </cacheField>
    <cacheField name="[Measures].[Sum of TotalPrice]" caption="Sum of TotalPrice" numFmtId="0" hierarchy="22" level="32767"/>
    <cacheField name="[Measures].[Count of OrderID]" caption="Count of OrderID" numFmtId="0" hierarchy="26" level="32767"/>
    <cacheField name="[Measures].[Average of TotalPrice]" caption="Average of TotalPrice" numFmtId="0" hierarchy="27" level="32767"/>
  </cacheFields>
  <cacheHierarchies count="32"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ShippingAddress]" caption="ShippingAddress" attribute="1" defaultMemberUniqueName="[Table1].[ShippingAddress].[All]" allUniqueName="[Table1].[ShippingAddress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TrackingNumber]" caption="TrackingNumber" attribute="1" defaultMemberUniqueName="[Table1].[TrackingNumber].[All]" allUniqueName="[Table1].[TrackingNumber].[All]" dimensionUniqueName="[Table1]" displayFolder="" count="0" memberValueDatatype="130" unbalanced="0"/>
    <cacheHierarchy uniqueName="[Table1].[ItemsInCart]" caption="ItemsInCart" attribute="1" defaultMemberUniqueName="[Table1].[ItemsInCart].[All]" allUniqueName="[Table1].[ItemsInCart].[All]" dimensionUniqueName="[Table1]" displayFolder="" count="0" memberValueDatatype="20" unbalanced="0"/>
    <cacheHierarchy uniqueName="[Table1].[CouponCode]" caption="CouponCode" attribute="1" defaultMemberUniqueName="[Table1].[CouponCode].[All]" allUniqueName="[Table1].[CouponCode].[All]" dimensionUniqueName="[Table1]" displayFolder="" count="0" memberValueDatatype="130" unbalanced="0"/>
    <cacheHierarchy uniqueName="[Table1].[ReferralSource]" caption="ReferralSource" attribute="1" defaultMemberUniqueName="[Table1].[ReferralSource].[All]" allUniqueName="[Table1].[ReferralSource].[All]" dimensionUniqueName="[Table1]" displayFolder="" count="0" memberValueDatatype="130" unbalanced="0"/>
    <cacheHierarchy uniqueName="[Table1].[TotalPrice]" caption="TotalPrice" attribute="1" defaultMemberUniqueName="[Table1].[TotalPrice].[All]" allUniqueName="[Table1].[TotalPrice].[All]" dimensionUniqueName="[Table1]" displayFolder="" count="0" memberValueDatatype="5" unbalanced="0"/>
    <cacheHierarchy uniqueName="[Table1].[Date (Year)]" caption="Date (Year)" attribute="1" defaultMemberUniqueName="[Table1].[Date (Year)].[All]" allUniqueName="[Table1].[Date (Year)].[All]" dimensionUniqueName="[Table1]" displayFolder="" count="0" memberValueDatatype="130" unbalanced="0"/>
    <cacheHierarchy uniqueName="[Table1].[Date (Quarter)]" caption="Date (Quarter)" attribute="1" defaultMemberUniqueName="[Table1].[Date (Quarter)].[All]" allUniqueName="[Table1].[Date (Quarter)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UnitPrice]" caption="Sum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temsInCart]" caption="Sum of ItemsInCar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Quantity]" caption="Average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UnitPrice]" caption="Average of UnitPrice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ate (Quarter)]" caption="Count of Date (Quarter)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Date (Month)]" caption="Count of Date (Month)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0652B-FCF5-4EB7-896A-D7AC2C41B459}" name="PivotTable6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3">
  <location ref="A3:D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/>
    <dataField name="Count of OrderID" fld="2" subtotal="count" baseField="0" baseItem="0"/>
    <dataField name="Average of TotalPrice2" fld="3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TotalPrice2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B5B4E-6EE5-4CD1-BCBB-CCA77735394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4"/>
    <dataField name="Count of OrderID" fld="2" subtotal="count" baseField="0" baseItem="0"/>
    <dataField name="Average of TotalPrice2" fld="3" subtotal="average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TotalPrice2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8AA90-91C7-40BB-A7F7-C547500B2D8C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9" firstHeaderRow="0" firstDataRow="1" firstDataCol="1"/>
  <pivotFields count="4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" baseField="0" baseItem="0" numFmtId="164"/>
    <dataField name="Average of UnitPrice" fld="3" subtotal="average" baseField="0" baseItem="0" numFmtId="164"/>
    <dataField name="Average of Quantity" fld="2" subtotal="average" baseField="0" baseItem="0" numFmtId="165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 caption="Average of UnitPric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CE7DD-5BFA-4512-BF2B-6ECCD727E50B}" name="PivotTable1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1:C35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2">
    <field x="0"/>
    <field x="2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" baseField="0" baseItem="0"/>
    <dataField name="Count of OrderID" fld="3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91400-DBF7-459C-BB8B-502AD7D73EB4}" name="Table1" displayName="Table1" ref="A1:N1201" totalsRowShown="0" headerRowDxfId="3" headerRowBorderDxfId="2" tableBorderDxfId="1">
  <autoFilter ref="A1:N1201" xr:uid="{54691400-DBF7-459C-BB8B-502AD7D73EB4}"/>
  <tableColumns count="14">
    <tableColumn id="1" xr3:uid="{2A8D8849-EE95-4AD9-B98F-D2B982B75DD9}" name="OrderID"/>
    <tableColumn id="2" xr3:uid="{2BD5D4CC-F920-401B-8060-D313B88ACD6C}" name="Date" dataDxfId="0"/>
    <tableColumn id="3" xr3:uid="{BC0931FB-D99A-418B-AF98-7E60065D0F97}" name="CustomerID"/>
    <tableColumn id="4" xr3:uid="{DB722CB4-28BE-4B19-AAFA-FD8EFBB4074A}" name="Product"/>
    <tableColumn id="5" xr3:uid="{1D9039EC-0F4E-4700-9BAB-B6F77A26019C}" name="Quantity"/>
    <tableColumn id="6" xr3:uid="{4676E889-78FE-4B48-AACC-8DC2F85BD4E9}" name="UnitPrice"/>
    <tableColumn id="7" xr3:uid="{F6AB22FE-ED68-427E-9AB8-D62FC63E31C7}" name="ShippingAddress"/>
    <tableColumn id="8" xr3:uid="{053FBC2F-3F73-49C8-9A1F-4A2407D1D2B3}" name="PaymentMethod"/>
    <tableColumn id="9" xr3:uid="{905A2FE4-E7E9-4C8A-BC19-680705AAFA27}" name="OrderStatus"/>
    <tableColumn id="10" xr3:uid="{4951AF50-0E72-4AA0-8A9A-36068B3EA223}" name="TrackingNumber"/>
    <tableColumn id="11" xr3:uid="{6375F7CC-DAA2-484D-BA2A-62BACAD1D008}" name="ItemsInCart"/>
    <tableColumn id="12" xr3:uid="{F7770F7D-D411-4CC2-8F68-BCFB254CD833}" name="CouponCode"/>
    <tableColumn id="13" xr3:uid="{426F055E-2B4F-4455-8BBA-84B7A2F19111}" name="ReferralSource"/>
    <tableColumn id="14" xr3:uid="{0359234C-AD97-470E-ABA0-EF075D39660A}" name="TotalPric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D1" workbookViewId="0">
      <selection activeCell="M6" sqref="M6"/>
    </sheetView>
  </sheetViews>
  <sheetFormatPr defaultRowHeight="14.4"/>
  <cols>
    <col min="1" max="1" width="9.44140625" customWidth="1"/>
    <col min="2" max="2" width="10.33203125" style="3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4287</v>
      </c>
      <c r="M10" t="s">
        <v>4280</v>
      </c>
      <c r="N10">
        <v>268.56</v>
      </c>
    </row>
    <row r="11" spans="1:14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4287</v>
      </c>
      <c r="M17" t="s">
        <v>4282</v>
      </c>
      <c r="N17">
        <v>473.96</v>
      </c>
    </row>
    <row r="18" spans="1:14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4287</v>
      </c>
      <c r="M19" t="s">
        <v>4279</v>
      </c>
      <c r="N19">
        <v>423.4</v>
      </c>
    </row>
    <row r="20" spans="1:14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4287</v>
      </c>
      <c r="M23" t="s">
        <v>4282</v>
      </c>
      <c r="N23">
        <v>1371.8</v>
      </c>
    </row>
    <row r="24" spans="1:14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4287</v>
      </c>
      <c r="M28" t="s">
        <v>4279</v>
      </c>
      <c r="N28">
        <v>297.75</v>
      </c>
    </row>
    <row r="29" spans="1:14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4287</v>
      </c>
      <c r="M30" t="s">
        <v>4280</v>
      </c>
      <c r="N30">
        <v>640.28</v>
      </c>
    </row>
    <row r="31" spans="1:14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4287</v>
      </c>
      <c r="M33" t="s">
        <v>4281</v>
      </c>
      <c r="N33">
        <v>1500.24</v>
      </c>
    </row>
    <row r="34" spans="1:14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4287</v>
      </c>
      <c r="M34" t="s">
        <v>4280</v>
      </c>
      <c r="N34">
        <v>2683.6</v>
      </c>
    </row>
    <row r="35" spans="1:14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4287</v>
      </c>
      <c r="M38" t="s">
        <v>4281</v>
      </c>
      <c r="N38">
        <v>1068.8599999999999</v>
      </c>
    </row>
    <row r="39" spans="1:14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4287</v>
      </c>
      <c r="M44" t="s">
        <v>4278</v>
      </c>
      <c r="N44">
        <v>303.32</v>
      </c>
    </row>
    <row r="45" spans="1:14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4287</v>
      </c>
      <c r="M45" t="s">
        <v>4278</v>
      </c>
      <c r="N45">
        <v>1497.63</v>
      </c>
    </row>
    <row r="46" spans="1:14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4287</v>
      </c>
      <c r="M50" t="s">
        <v>4282</v>
      </c>
      <c r="N50">
        <v>161.54</v>
      </c>
    </row>
    <row r="51" spans="1:14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4287</v>
      </c>
      <c r="M57" t="s">
        <v>4281</v>
      </c>
      <c r="N57">
        <v>1033.2</v>
      </c>
    </row>
    <row r="58" spans="1:14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4287</v>
      </c>
      <c r="M61" t="s">
        <v>4281</v>
      </c>
      <c r="N61">
        <v>2373.08</v>
      </c>
    </row>
    <row r="62" spans="1:14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4287</v>
      </c>
      <c r="M67" t="s">
        <v>4278</v>
      </c>
      <c r="N67">
        <v>408.5</v>
      </c>
    </row>
    <row r="68" spans="1:14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4287</v>
      </c>
      <c r="M69" t="s">
        <v>4282</v>
      </c>
      <c r="N69">
        <v>48.4</v>
      </c>
    </row>
    <row r="70" spans="1:14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4287</v>
      </c>
      <c r="M71" t="s">
        <v>4279</v>
      </c>
      <c r="N71">
        <v>1435.95</v>
      </c>
    </row>
    <row r="72" spans="1:14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4287</v>
      </c>
      <c r="M73" t="s">
        <v>4279</v>
      </c>
      <c r="N73">
        <v>1303.3499999999999</v>
      </c>
    </row>
    <row r="74" spans="1:14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4287</v>
      </c>
      <c r="M74" t="s">
        <v>4281</v>
      </c>
      <c r="N74">
        <v>2357.7600000000002</v>
      </c>
    </row>
    <row r="75" spans="1:14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4287</v>
      </c>
      <c r="M75" t="s">
        <v>4281</v>
      </c>
      <c r="N75">
        <v>1733.8</v>
      </c>
    </row>
    <row r="76" spans="1:14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4287</v>
      </c>
      <c r="M76" t="s">
        <v>4278</v>
      </c>
      <c r="N76">
        <v>454.35</v>
      </c>
    </row>
    <row r="77" spans="1:14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4287</v>
      </c>
      <c r="M79" t="s">
        <v>4282</v>
      </c>
      <c r="N79">
        <v>583.17999999999995</v>
      </c>
    </row>
    <row r="80" spans="1:14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4287</v>
      </c>
      <c r="M81" t="s">
        <v>4281</v>
      </c>
      <c r="N81">
        <v>623.82000000000005</v>
      </c>
    </row>
    <row r="82" spans="1:14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4287</v>
      </c>
      <c r="M82" t="s">
        <v>4281</v>
      </c>
      <c r="N82">
        <v>1768.68</v>
      </c>
    </row>
    <row r="83" spans="1:14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4287</v>
      </c>
      <c r="M85" t="s">
        <v>4279</v>
      </c>
      <c r="N85">
        <v>2161.64</v>
      </c>
    </row>
    <row r="86" spans="1:14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4287</v>
      </c>
      <c r="M90" t="s">
        <v>4282</v>
      </c>
      <c r="N90">
        <v>344.43</v>
      </c>
    </row>
    <row r="91" spans="1:14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4287</v>
      </c>
      <c r="M95" t="s">
        <v>4279</v>
      </c>
      <c r="N95">
        <v>1724.04</v>
      </c>
    </row>
    <row r="96" spans="1:14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4287</v>
      </c>
      <c r="M97" t="s">
        <v>4279</v>
      </c>
      <c r="N97">
        <v>470.04</v>
      </c>
    </row>
    <row r="98" spans="1:14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4287</v>
      </c>
      <c r="M98" t="s">
        <v>4278</v>
      </c>
      <c r="N98">
        <v>465.66</v>
      </c>
    </row>
    <row r="99" spans="1:14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4287</v>
      </c>
      <c r="M99" t="s">
        <v>4280</v>
      </c>
      <c r="N99">
        <v>3097.6</v>
      </c>
    </row>
    <row r="100" spans="1:14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4287</v>
      </c>
      <c r="M100" t="s">
        <v>4280</v>
      </c>
      <c r="N100">
        <v>457.08</v>
      </c>
    </row>
    <row r="101" spans="1:14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4287</v>
      </c>
      <c r="M102" t="s">
        <v>4281</v>
      </c>
      <c r="N102">
        <v>1994.37</v>
      </c>
    </row>
    <row r="103" spans="1:14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4287</v>
      </c>
      <c r="M103" t="s">
        <v>4282</v>
      </c>
      <c r="N103">
        <v>381.02</v>
      </c>
    </row>
    <row r="104" spans="1:14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4287</v>
      </c>
      <c r="M107" t="s">
        <v>4281</v>
      </c>
      <c r="N107">
        <v>556.20000000000005</v>
      </c>
    </row>
    <row r="108" spans="1:14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4287</v>
      </c>
      <c r="M124" t="s">
        <v>4281</v>
      </c>
      <c r="N124">
        <v>1066.04</v>
      </c>
    </row>
    <row r="125" spans="1:14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4287</v>
      </c>
      <c r="M125" t="s">
        <v>4278</v>
      </c>
      <c r="N125">
        <v>834.12000000000012</v>
      </c>
    </row>
    <row r="126" spans="1:14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4287</v>
      </c>
      <c r="M126" t="s">
        <v>4282</v>
      </c>
      <c r="N126">
        <v>1135.1600000000001</v>
      </c>
    </row>
    <row r="127" spans="1:14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4287</v>
      </c>
      <c r="M129" t="s">
        <v>4282</v>
      </c>
      <c r="N129">
        <v>1407.96</v>
      </c>
    </row>
    <row r="130" spans="1:14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4287</v>
      </c>
      <c r="M133" t="s">
        <v>4278</v>
      </c>
      <c r="N133">
        <v>84.8</v>
      </c>
    </row>
    <row r="134" spans="1:14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4287</v>
      </c>
      <c r="M136" t="s">
        <v>4280</v>
      </c>
      <c r="N136">
        <v>399.4</v>
      </c>
    </row>
    <row r="137" spans="1:14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4287</v>
      </c>
      <c r="M139" t="s">
        <v>4282</v>
      </c>
      <c r="N139">
        <v>501.96</v>
      </c>
    </row>
    <row r="140" spans="1:14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4287</v>
      </c>
      <c r="M141" t="s">
        <v>4280</v>
      </c>
      <c r="N141">
        <v>583.9</v>
      </c>
    </row>
    <row r="142" spans="1:14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4287</v>
      </c>
      <c r="M145" t="s">
        <v>4279</v>
      </c>
      <c r="N145">
        <v>1600.28</v>
      </c>
    </row>
    <row r="146" spans="1:14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4287</v>
      </c>
      <c r="M146" t="s">
        <v>4281</v>
      </c>
      <c r="N146">
        <v>1098.9000000000001</v>
      </c>
    </row>
    <row r="147" spans="1:14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4287</v>
      </c>
      <c r="M148" t="s">
        <v>4278</v>
      </c>
      <c r="N148">
        <v>822.98</v>
      </c>
    </row>
    <row r="149" spans="1:14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4287</v>
      </c>
      <c r="M151" t="s">
        <v>4281</v>
      </c>
      <c r="N151">
        <v>217.56</v>
      </c>
    </row>
    <row r="152" spans="1:14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4287</v>
      </c>
      <c r="M153" t="s">
        <v>4280</v>
      </c>
      <c r="N153">
        <v>2223.8000000000002</v>
      </c>
    </row>
    <row r="154" spans="1:14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4287</v>
      </c>
      <c r="M156" t="s">
        <v>4278</v>
      </c>
      <c r="N156">
        <v>1632.84</v>
      </c>
    </row>
    <row r="157" spans="1:14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4287</v>
      </c>
      <c r="M162" t="s">
        <v>4279</v>
      </c>
      <c r="N162">
        <v>405.28</v>
      </c>
    </row>
    <row r="163" spans="1:14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4287</v>
      </c>
      <c r="M165" t="s">
        <v>4279</v>
      </c>
      <c r="N165">
        <v>641.39</v>
      </c>
    </row>
    <row r="166" spans="1:14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4287</v>
      </c>
      <c r="M170" t="s">
        <v>4281</v>
      </c>
      <c r="N170">
        <v>594.96</v>
      </c>
    </row>
    <row r="171" spans="1:14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4287</v>
      </c>
      <c r="M179" t="s">
        <v>4281</v>
      </c>
      <c r="N179">
        <v>2158.4499999999998</v>
      </c>
    </row>
    <row r="180" spans="1:14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4287</v>
      </c>
      <c r="M181" t="s">
        <v>4280</v>
      </c>
      <c r="N181">
        <v>1619.73</v>
      </c>
    </row>
    <row r="182" spans="1:14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4287</v>
      </c>
      <c r="M182" t="s">
        <v>4282</v>
      </c>
      <c r="N182">
        <v>1580.35</v>
      </c>
    </row>
    <row r="183" spans="1:14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4287</v>
      </c>
      <c r="M183" t="s">
        <v>4279</v>
      </c>
      <c r="N183">
        <v>2021.95</v>
      </c>
    </row>
    <row r="184" spans="1:14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4287</v>
      </c>
      <c r="M186" t="s">
        <v>4279</v>
      </c>
      <c r="N186">
        <v>858.16</v>
      </c>
    </row>
    <row r="187" spans="1:14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4287</v>
      </c>
      <c r="M195" t="s">
        <v>4282</v>
      </c>
      <c r="N195">
        <v>46.66</v>
      </c>
    </row>
    <row r="196" spans="1:14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4287</v>
      </c>
      <c r="M197" t="s">
        <v>4280</v>
      </c>
      <c r="N197">
        <v>1857.63</v>
      </c>
    </row>
    <row r="198" spans="1:14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4287</v>
      </c>
      <c r="M207" t="s">
        <v>4280</v>
      </c>
      <c r="N207">
        <v>442.17</v>
      </c>
    </row>
    <row r="208" spans="1:14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4287</v>
      </c>
      <c r="M209" t="s">
        <v>4282</v>
      </c>
      <c r="N209">
        <v>121.96</v>
      </c>
    </row>
    <row r="210" spans="1:14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4287</v>
      </c>
      <c r="M216" t="s">
        <v>4281</v>
      </c>
      <c r="N216">
        <v>1222.8800000000001</v>
      </c>
    </row>
    <row r="217" spans="1:14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4287</v>
      </c>
      <c r="M219" t="s">
        <v>4282</v>
      </c>
      <c r="N219">
        <v>1286.04</v>
      </c>
    </row>
    <row r="220" spans="1:14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4287</v>
      </c>
      <c r="M224" t="s">
        <v>4278</v>
      </c>
      <c r="N224">
        <v>2773.44</v>
      </c>
    </row>
    <row r="225" spans="1:14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4287</v>
      </c>
      <c r="M228" t="s">
        <v>4278</v>
      </c>
      <c r="N228">
        <v>1764.15</v>
      </c>
    </row>
    <row r="229" spans="1:14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4287</v>
      </c>
      <c r="M230" t="s">
        <v>4278</v>
      </c>
      <c r="N230">
        <v>1543.68</v>
      </c>
    </row>
    <row r="231" spans="1:14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4287</v>
      </c>
      <c r="M247" t="s">
        <v>4281</v>
      </c>
      <c r="N247">
        <v>223.3</v>
      </c>
    </row>
    <row r="248" spans="1:14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4287</v>
      </c>
      <c r="M249" t="s">
        <v>4280</v>
      </c>
      <c r="N249">
        <v>441.8</v>
      </c>
    </row>
    <row r="250" spans="1:14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4287</v>
      </c>
      <c r="M253" t="s">
        <v>4280</v>
      </c>
      <c r="N253">
        <v>58.76</v>
      </c>
    </row>
    <row r="254" spans="1:14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4287</v>
      </c>
      <c r="M256" t="s">
        <v>4278</v>
      </c>
      <c r="N256">
        <v>789.56999999999994</v>
      </c>
    </row>
    <row r="257" spans="1:14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4287</v>
      </c>
      <c r="M262" t="s">
        <v>4282</v>
      </c>
      <c r="N262">
        <v>815.58</v>
      </c>
    </row>
    <row r="263" spans="1:14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4287</v>
      </c>
      <c r="M269" t="s">
        <v>4281</v>
      </c>
      <c r="N269">
        <v>2342.5500000000002</v>
      </c>
    </row>
    <row r="270" spans="1:14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4287</v>
      </c>
      <c r="M283" t="s">
        <v>4279</v>
      </c>
      <c r="N283">
        <v>2619.16</v>
      </c>
    </row>
    <row r="284" spans="1:14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4287</v>
      </c>
      <c r="M285" t="s">
        <v>4282</v>
      </c>
      <c r="N285">
        <v>2161.3200000000002</v>
      </c>
    </row>
    <row r="286" spans="1:14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4287</v>
      </c>
      <c r="M287" t="s">
        <v>4282</v>
      </c>
      <c r="N287">
        <v>338.31</v>
      </c>
    </row>
    <row r="288" spans="1:14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4287</v>
      </c>
      <c r="M289" t="s">
        <v>4281</v>
      </c>
      <c r="N289">
        <v>2620.7199999999998</v>
      </c>
    </row>
    <row r="290" spans="1:14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4287</v>
      </c>
      <c r="M294" t="s">
        <v>4281</v>
      </c>
      <c r="N294">
        <v>65.95</v>
      </c>
    </row>
    <row r="295" spans="1:14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4287</v>
      </c>
      <c r="M295" t="s">
        <v>4278</v>
      </c>
      <c r="N295">
        <v>1852.16</v>
      </c>
    </row>
    <row r="296" spans="1:14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4287</v>
      </c>
      <c r="M300" t="s">
        <v>4280</v>
      </c>
      <c r="N300">
        <v>1204.68</v>
      </c>
    </row>
    <row r="301" spans="1:14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4287</v>
      </c>
      <c r="M305" t="s">
        <v>4282</v>
      </c>
      <c r="N305">
        <v>30.54</v>
      </c>
    </row>
    <row r="306" spans="1:14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4287</v>
      </c>
      <c r="M309" t="s">
        <v>4280</v>
      </c>
      <c r="N309">
        <v>1672.23</v>
      </c>
    </row>
    <row r="310" spans="1:14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4287</v>
      </c>
      <c r="M312" t="s">
        <v>4279</v>
      </c>
      <c r="N312">
        <v>397.43999999999988</v>
      </c>
    </row>
    <row r="313" spans="1:14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4287</v>
      </c>
      <c r="M313" t="s">
        <v>4278</v>
      </c>
      <c r="N313">
        <v>2446.85</v>
      </c>
    </row>
    <row r="314" spans="1:14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4287</v>
      </c>
      <c r="M319" t="s">
        <v>4278</v>
      </c>
      <c r="N319">
        <v>279.89999999999998</v>
      </c>
    </row>
    <row r="320" spans="1:14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4287</v>
      </c>
      <c r="M321" t="s">
        <v>4278</v>
      </c>
      <c r="N321">
        <v>1126.1199999999999</v>
      </c>
    </row>
    <row r="322" spans="1:14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4287</v>
      </c>
      <c r="M326" t="s">
        <v>4279</v>
      </c>
      <c r="N326">
        <v>212.79</v>
      </c>
    </row>
    <row r="327" spans="1:14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4287</v>
      </c>
      <c r="M327" t="s">
        <v>4279</v>
      </c>
      <c r="N327">
        <v>1084.17</v>
      </c>
    </row>
    <row r="328" spans="1:14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4287</v>
      </c>
      <c r="M331" t="s">
        <v>4282</v>
      </c>
      <c r="N331">
        <v>1132.6400000000001</v>
      </c>
    </row>
    <row r="332" spans="1:14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4287</v>
      </c>
      <c r="M337" t="s">
        <v>4280</v>
      </c>
      <c r="N337">
        <v>617.58000000000004</v>
      </c>
    </row>
    <row r="338" spans="1:14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4287</v>
      </c>
      <c r="M340" t="s">
        <v>4279</v>
      </c>
      <c r="N340">
        <v>1527.45</v>
      </c>
    </row>
    <row r="341" spans="1:14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4287</v>
      </c>
      <c r="M342" t="s">
        <v>4280</v>
      </c>
      <c r="N342">
        <v>2606.25</v>
      </c>
    </row>
    <row r="343" spans="1:14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4287</v>
      </c>
      <c r="M344" t="s">
        <v>4279</v>
      </c>
      <c r="N344">
        <v>2332.1</v>
      </c>
    </row>
    <row r="345" spans="1:14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4287</v>
      </c>
      <c r="M348" t="s">
        <v>4279</v>
      </c>
      <c r="N348">
        <v>655.09</v>
      </c>
    </row>
    <row r="349" spans="1:14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4287</v>
      </c>
      <c r="M352" t="s">
        <v>4278</v>
      </c>
      <c r="N352">
        <v>108.82</v>
      </c>
    </row>
    <row r="353" spans="1:14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4287</v>
      </c>
      <c r="M353" t="s">
        <v>4278</v>
      </c>
      <c r="N353">
        <v>64.66</v>
      </c>
    </row>
    <row r="354" spans="1:14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4287</v>
      </c>
      <c r="M356" t="s">
        <v>4278</v>
      </c>
      <c r="N356">
        <v>693.41</v>
      </c>
    </row>
    <row r="357" spans="1:14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4287</v>
      </c>
      <c r="M362" t="s">
        <v>4278</v>
      </c>
      <c r="N362">
        <v>2358.2800000000002</v>
      </c>
    </row>
    <row r="363" spans="1:14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4287</v>
      </c>
      <c r="M368" t="s">
        <v>4279</v>
      </c>
      <c r="N368">
        <v>1806.72</v>
      </c>
    </row>
    <row r="369" spans="1:14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4287</v>
      </c>
      <c r="M370" t="s">
        <v>4282</v>
      </c>
      <c r="N370">
        <v>813.06</v>
      </c>
    </row>
    <row r="371" spans="1:14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4287</v>
      </c>
      <c r="M374" t="s">
        <v>4279</v>
      </c>
      <c r="N374">
        <v>1450.59</v>
      </c>
    </row>
    <row r="375" spans="1:14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4287</v>
      </c>
      <c r="M381" t="s">
        <v>4282</v>
      </c>
      <c r="N381">
        <v>893.01</v>
      </c>
    </row>
    <row r="382" spans="1:14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4287</v>
      </c>
      <c r="M388" t="s">
        <v>4280</v>
      </c>
      <c r="N388">
        <v>93.02</v>
      </c>
    </row>
    <row r="389" spans="1:14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4287</v>
      </c>
      <c r="M395" t="s">
        <v>4282</v>
      </c>
      <c r="N395">
        <v>75.010000000000005</v>
      </c>
    </row>
    <row r="396" spans="1:14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4287</v>
      </c>
      <c r="M396" t="s">
        <v>4281</v>
      </c>
      <c r="N396">
        <v>2647.75</v>
      </c>
    </row>
    <row r="397" spans="1:14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4287</v>
      </c>
      <c r="M403" t="s">
        <v>4279</v>
      </c>
      <c r="N403">
        <v>538.67999999999995</v>
      </c>
    </row>
    <row r="404" spans="1:14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4287</v>
      </c>
      <c r="M404" t="s">
        <v>4279</v>
      </c>
      <c r="N404">
        <v>1686.9</v>
      </c>
    </row>
    <row r="405" spans="1:14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4287</v>
      </c>
      <c r="M406" t="s">
        <v>4278</v>
      </c>
      <c r="N406">
        <v>198.2</v>
      </c>
    </row>
    <row r="407" spans="1:14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4287</v>
      </c>
      <c r="M412" t="s">
        <v>4280</v>
      </c>
      <c r="N412">
        <v>1036.46</v>
      </c>
    </row>
    <row r="413" spans="1:14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4287</v>
      </c>
      <c r="M413" t="s">
        <v>4281</v>
      </c>
      <c r="N413">
        <v>79.02</v>
      </c>
    </row>
    <row r="414" spans="1:14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4287</v>
      </c>
      <c r="M414" t="s">
        <v>4281</v>
      </c>
      <c r="N414">
        <v>665.05</v>
      </c>
    </row>
    <row r="415" spans="1:14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4287</v>
      </c>
      <c r="M419" t="s">
        <v>4282</v>
      </c>
      <c r="N419">
        <v>277.05</v>
      </c>
    </row>
    <row r="420" spans="1:14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4287</v>
      </c>
      <c r="M420" t="s">
        <v>4281</v>
      </c>
      <c r="N420">
        <v>310.93</v>
      </c>
    </row>
    <row r="421" spans="1:14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4287</v>
      </c>
      <c r="M423" t="s">
        <v>4280</v>
      </c>
      <c r="N423">
        <v>576.41999999999996</v>
      </c>
    </row>
    <row r="424" spans="1:14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4287</v>
      </c>
      <c r="M426" t="s">
        <v>4280</v>
      </c>
      <c r="N426">
        <v>114.7</v>
      </c>
    </row>
    <row r="427" spans="1:14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4287</v>
      </c>
      <c r="M428" t="s">
        <v>4281</v>
      </c>
      <c r="N428">
        <v>287.25</v>
      </c>
    </row>
    <row r="429" spans="1:14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4287</v>
      </c>
      <c r="M434" t="s">
        <v>4279</v>
      </c>
      <c r="N434">
        <v>848.64</v>
      </c>
    </row>
    <row r="435" spans="1:14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4287</v>
      </c>
      <c r="M436" t="s">
        <v>4281</v>
      </c>
      <c r="N436">
        <v>1638.4</v>
      </c>
    </row>
    <row r="437" spans="1:14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4287</v>
      </c>
      <c r="M438" t="s">
        <v>4282</v>
      </c>
      <c r="N438">
        <v>885.32</v>
      </c>
    </row>
    <row r="439" spans="1:14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4287</v>
      </c>
      <c r="M445" t="s">
        <v>4281</v>
      </c>
      <c r="N445">
        <v>139.28</v>
      </c>
    </row>
    <row r="446" spans="1:14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4287</v>
      </c>
      <c r="M449" t="s">
        <v>4281</v>
      </c>
      <c r="N449">
        <v>833.62</v>
      </c>
    </row>
    <row r="450" spans="1:14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4287</v>
      </c>
      <c r="M451" t="s">
        <v>4278</v>
      </c>
      <c r="N451">
        <v>759.15000000000009</v>
      </c>
    </row>
    <row r="452" spans="1:14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4287</v>
      </c>
      <c r="M461" t="s">
        <v>4278</v>
      </c>
      <c r="N461">
        <v>334.39</v>
      </c>
    </row>
    <row r="462" spans="1:14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4287</v>
      </c>
      <c r="M464" t="s">
        <v>4279</v>
      </c>
      <c r="N464">
        <v>252.68</v>
      </c>
    </row>
    <row r="465" spans="1:14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4287</v>
      </c>
      <c r="M467" t="s">
        <v>4282</v>
      </c>
      <c r="N467">
        <v>2567.4499999999998</v>
      </c>
    </row>
    <row r="468" spans="1:14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4287</v>
      </c>
      <c r="M471" t="s">
        <v>4281</v>
      </c>
      <c r="N471">
        <v>3384.9</v>
      </c>
    </row>
    <row r="472" spans="1:14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4287</v>
      </c>
      <c r="M475" t="s">
        <v>4281</v>
      </c>
      <c r="N475">
        <v>29.86</v>
      </c>
    </row>
    <row r="476" spans="1:14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4287</v>
      </c>
      <c r="M481" t="s">
        <v>4282</v>
      </c>
      <c r="N481">
        <v>101.16</v>
      </c>
    </row>
    <row r="482" spans="1:14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4287</v>
      </c>
      <c r="M484" t="s">
        <v>4278</v>
      </c>
      <c r="N484">
        <v>1144.23</v>
      </c>
    </row>
    <row r="485" spans="1:14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4287</v>
      </c>
      <c r="M486" t="s">
        <v>4281</v>
      </c>
      <c r="N486">
        <v>60.04</v>
      </c>
    </row>
    <row r="487" spans="1:14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4287</v>
      </c>
      <c r="M492" t="s">
        <v>4281</v>
      </c>
      <c r="N492">
        <v>2339.0500000000002</v>
      </c>
    </row>
    <row r="493" spans="1:14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4287</v>
      </c>
      <c r="M499" t="s">
        <v>4282</v>
      </c>
      <c r="N499">
        <v>336.87</v>
      </c>
    </row>
    <row r="500" spans="1:14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4287</v>
      </c>
      <c r="M507" t="s">
        <v>4280</v>
      </c>
      <c r="N507">
        <v>869.94</v>
      </c>
    </row>
    <row r="508" spans="1:14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4287</v>
      </c>
      <c r="M510" t="s">
        <v>4279</v>
      </c>
      <c r="N510">
        <v>558.27</v>
      </c>
    </row>
    <row r="511" spans="1:14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4287</v>
      </c>
      <c r="M515" t="s">
        <v>4279</v>
      </c>
      <c r="N515">
        <v>284.64</v>
      </c>
    </row>
    <row r="516" spans="1:14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4287</v>
      </c>
      <c r="M518" t="s">
        <v>4281</v>
      </c>
      <c r="N518">
        <v>500.97</v>
      </c>
    </row>
    <row r="519" spans="1:14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4287</v>
      </c>
      <c r="M522" t="s">
        <v>4279</v>
      </c>
      <c r="N522">
        <v>1907.94</v>
      </c>
    </row>
    <row r="523" spans="1:14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4287</v>
      </c>
      <c r="M523" t="s">
        <v>4281</v>
      </c>
      <c r="N523">
        <v>528.05999999999995</v>
      </c>
    </row>
    <row r="524" spans="1:14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4287</v>
      </c>
      <c r="M526" t="s">
        <v>4279</v>
      </c>
      <c r="N526">
        <v>153</v>
      </c>
    </row>
    <row r="527" spans="1:14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4287</v>
      </c>
      <c r="M532" t="s">
        <v>4282</v>
      </c>
      <c r="N532">
        <v>357.64</v>
      </c>
    </row>
    <row r="533" spans="1:14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4287</v>
      </c>
      <c r="M533" t="s">
        <v>4279</v>
      </c>
      <c r="N533">
        <v>1600.05</v>
      </c>
    </row>
    <row r="534" spans="1:14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4287</v>
      </c>
      <c r="M534" t="s">
        <v>4280</v>
      </c>
      <c r="N534">
        <v>82</v>
      </c>
    </row>
    <row r="535" spans="1:14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4287</v>
      </c>
      <c r="M538" t="s">
        <v>4280</v>
      </c>
      <c r="N538">
        <v>616.1</v>
      </c>
    </row>
    <row r="539" spans="1:14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4287</v>
      </c>
      <c r="M542" t="s">
        <v>4279</v>
      </c>
      <c r="N542">
        <v>3243.25</v>
      </c>
    </row>
    <row r="543" spans="1:14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4287</v>
      </c>
      <c r="M543" t="s">
        <v>4278</v>
      </c>
      <c r="N543">
        <v>2280.3000000000002</v>
      </c>
    </row>
    <row r="544" spans="1:14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4287</v>
      </c>
      <c r="M547" t="s">
        <v>4278</v>
      </c>
      <c r="N547">
        <v>196.94</v>
      </c>
    </row>
    <row r="548" spans="1:14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4287</v>
      </c>
      <c r="M557" t="s">
        <v>4281</v>
      </c>
      <c r="N557">
        <v>92.04</v>
      </c>
    </row>
    <row r="558" spans="1:14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4287</v>
      </c>
      <c r="M562" t="s">
        <v>4280</v>
      </c>
      <c r="N562">
        <v>2355.4</v>
      </c>
    </row>
    <row r="563" spans="1:14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4287</v>
      </c>
      <c r="M563" t="s">
        <v>4282</v>
      </c>
      <c r="N563">
        <v>989.56</v>
      </c>
    </row>
    <row r="564" spans="1:14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4287</v>
      </c>
      <c r="M567" t="s">
        <v>4281</v>
      </c>
      <c r="N567">
        <v>1539.9</v>
      </c>
    </row>
    <row r="568" spans="1:14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4287</v>
      </c>
      <c r="M570" t="s">
        <v>4282</v>
      </c>
      <c r="N570">
        <v>687.98</v>
      </c>
    </row>
    <row r="571" spans="1:14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4287</v>
      </c>
      <c r="M575" t="s">
        <v>4278</v>
      </c>
      <c r="N575">
        <v>2107.1</v>
      </c>
    </row>
    <row r="576" spans="1:14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4287</v>
      </c>
      <c r="M578" t="s">
        <v>4281</v>
      </c>
      <c r="N578">
        <v>395.4</v>
      </c>
    </row>
    <row r="579" spans="1:14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4287</v>
      </c>
      <c r="M583" t="s">
        <v>4279</v>
      </c>
      <c r="N583">
        <v>627.34</v>
      </c>
    </row>
    <row r="584" spans="1:14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4287</v>
      </c>
      <c r="M585" t="s">
        <v>4278</v>
      </c>
      <c r="N585">
        <v>463.11</v>
      </c>
    </row>
    <row r="586" spans="1:14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4287</v>
      </c>
      <c r="M590" t="s">
        <v>4282</v>
      </c>
      <c r="N590">
        <v>2311.2800000000002</v>
      </c>
    </row>
    <row r="591" spans="1:14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4287</v>
      </c>
      <c r="M592" t="s">
        <v>4280</v>
      </c>
      <c r="N592">
        <v>922.26</v>
      </c>
    </row>
    <row r="593" spans="1:14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4287</v>
      </c>
      <c r="M594" t="s">
        <v>4282</v>
      </c>
      <c r="N594">
        <v>612.81000000000006</v>
      </c>
    </row>
    <row r="595" spans="1:14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4287</v>
      </c>
      <c r="M596" t="s">
        <v>4280</v>
      </c>
      <c r="N596">
        <v>363.2</v>
      </c>
    </row>
    <row r="597" spans="1:14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4287</v>
      </c>
      <c r="M600" t="s">
        <v>4281</v>
      </c>
      <c r="N600">
        <v>2476.75</v>
      </c>
    </row>
    <row r="601" spans="1:14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4287</v>
      </c>
      <c r="M603" t="s">
        <v>4279</v>
      </c>
      <c r="N603">
        <v>124.1</v>
      </c>
    </row>
    <row r="604" spans="1:14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4287</v>
      </c>
      <c r="M606" t="s">
        <v>4281</v>
      </c>
      <c r="N606">
        <v>97.859999999999985</v>
      </c>
    </row>
    <row r="607" spans="1:14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4287</v>
      </c>
      <c r="M614" t="s">
        <v>4282</v>
      </c>
      <c r="N614">
        <v>1335.36</v>
      </c>
    </row>
    <row r="615" spans="1:14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4287</v>
      </c>
      <c r="M616" t="s">
        <v>4279</v>
      </c>
      <c r="N616">
        <v>96.81</v>
      </c>
    </row>
    <row r="617" spans="1:14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4287</v>
      </c>
      <c r="M619" t="s">
        <v>4279</v>
      </c>
      <c r="N619">
        <v>553.41</v>
      </c>
    </row>
    <row r="620" spans="1:14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4287</v>
      </c>
      <c r="M620" t="s">
        <v>4278</v>
      </c>
      <c r="N620">
        <v>411.34</v>
      </c>
    </row>
    <row r="621" spans="1:14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4287</v>
      </c>
      <c r="M621" t="s">
        <v>4279</v>
      </c>
      <c r="N621">
        <v>532.89</v>
      </c>
    </row>
    <row r="622" spans="1:14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4287</v>
      </c>
      <c r="M624" t="s">
        <v>4281</v>
      </c>
      <c r="N624">
        <v>1181.9000000000001</v>
      </c>
    </row>
    <row r="625" spans="1:14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4287</v>
      </c>
      <c r="M626" t="s">
        <v>4280</v>
      </c>
      <c r="N626">
        <v>1709.8</v>
      </c>
    </row>
    <row r="627" spans="1:14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4287</v>
      </c>
      <c r="M631" t="s">
        <v>4279</v>
      </c>
      <c r="N631">
        <v>59.19</v>
      </c>
    </row>
    <row r="632" spans="1:14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4287</v>
      </c>
      <c r="M632" t="s">
        <v>4278</v>
      </c>
      <c r="N632">
        <v>1244.2</v>
      </c>
    </row>
    <row r="633" spans="1:14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4287</v>
      </c>
      <c r="M637" t="s">
        <v>4281</v>
      </c>
      <c r="N637">
        <v>191.04</v>
      </c>
    </row>
    <row r="638" spans="1:14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4287</v>
      </c>
      <c r="M641" t="s">
        <v>4279</v>
      </c>
      <c r="N641">
        <v>529.19000000000005</v>
      </c>
    </row>
    <row r="642" spans="1:14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4287</v>
      </c>
      <c r="M653" t="s">
        <v>4282</v>
      </c>
      <c r="N653">
        <v>1939.02</v>
      </c>
    </row>
    <row r="654" spans="1:14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4287</v>
      </c>
      <c r="M656" t="s">
        <v>4278</v>
      </c>
      <c r="N656">
        <v>1147.1099999999999</v>
      </c>
    </row>
    <row r="657" spans="1:14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4287</v>
      </c>
      <c r="M664" t="s">
        <v>4281</v>
      </c>
      <c r="N664">
        <v>1316.67</v>
      </c>
    </row>
    <row r="665" spans="1:14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4287</v>
      </c>
      <c r="M666" t="s">
        <v>4281</v>
      </c>
      <c r="N666">
        <v>779</v>
      </c>
    </row>
    <row r="667" spans="1:14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4287</v>
      </c>
      <c r="M668" t="s">
        <v>4280</v>
      </c>
      <c r="N668">
        <v>1308.48</v>
      </c>
    </row>
    <row r="669" spans="1:14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4287</v>
      </c>
      <c r="M671" t="s">
        <v>4279</v>
      </c>
      <c r="N671">
        <v>257</v>
      </c>
    </row>
    <row r="672" spans="1:14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4287</v>
      </c>
      <c r="M677" t="s">
        <v>4280</v>
      </c>
      <c r="N677">
        <v>1026.06</v>
      </c>
    </row>
    <row r="678" spans="1:14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4287</v>
      </c>
      <c r="M682" t="s">
        <v>4281</v>
      </c>
      <c r="N682">
        <v>1390.17</v>
      </c>
    </row>
    <row r="683" spans="1:14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4287</v>
      </c>
      <c r="M683" t="s">
        <v>4280</v>
      </c>
      <c r="N683">
        <v>155.27000000000001</v>
      </c>
    </row>
    <row r="684" spans="1:14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4287</v>
      </c>
      <c r="M686" t="s">
        <v>4280</v>
      </c>
      <c r="N686">
        <v>139.36000000000001</v>
      </c>
    </row>
    <row r="687" spans="1:14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4287</v>
      </c>
      <c r="M691" t="s">
        <v>4281</v>
      </c>
      <c r="N691">
        <v>889.68</v>
      </c>
    </row>
    <row r="692" spans="1:14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4287</v>
      </c>
      <c r="M692" t="s">
        <v>4278</v>
      </c>
      <c r="N692">
        <v>24.48</v>
      </c>
    </row>
    <row r="693" spans="1:14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4287</v>
      </c>
      <c r="M693" t="s">
        <v>4282</v>
      </c>
      <c r="N693">
        <v>717.24</v>
      </c>
    </row>
    <row r="694" spans="1:14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4287</v>
      </c>
      <c r="M695" t="s">
        <v>4279</v>
      </c>
      <c r="N695">
        <v>176.58</v>
      </c>
    </row>
    <row r="696" spans="1:14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4287</v>
      </c>
      <c r="M701" t="s">
        <v>4281</v>
      </c>
      <c r="N701">
        <v>1842.45</v>
      </c>
    </row>
    <row r="702" spans="1:14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4287</v>
      </c>
      <c r="M704" t="s">
        <v>4280</v>
      </c>
      <c r="N704">
        <v>1687.65</v>
      </c>
    </row>
    <row r="705" spans="1:14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4287</v>
      </c>
      <c r="M712" t="s">
        <v>4282</v>
      </c>
      <c r="N712">
        <v>107.7</v>
      </c>
    </row>
    <row r="713" spans="1:14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4287</v>
      </c>
      <c r="M723" t="s">
        <v>4280</v>
      </c>
      <c r="N723">
        <v>237.18</v>
      </c>
    </row>
    <row r="724" spans="1:14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4287</v>
      </c>
      <c r="M727" t="s">
        <v>4279</v>
      </c>
      <c r="N727">
        <v>389.7</v>
      </c>
    </row>
    <row r="728" spans="1:14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4287</v>
      </c>
      <c r="M733" t="s">
        <v>4280</v>
      </c>
      <c r="N733">
        <v>2922.3</v>
      </c>
    </row>
    <row r="734" spans="1:14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4287</v>
      </c>
      <c r="M734" t="s">
        <v>4282</v>
      </c>
      <c r="N734">
        <v>132.05000000000001</v>
      </c>
    </row>
    <row r="735" spans="1:14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4287</v>
      </c>
      <c r="M737" t="s">
        <v>4280</v>
      </c>
      <c r="N737">
        <v>176.28</v>
      </c>
    </row>
    <row r="738" spans="1:14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4287</v>
      </c>
      <c r="M742" t="s">
        <v>4282</v>
      </c>
      <c r="N742">
        <v>754.94</v>
      </c>
    </row>
    <row r="743" spans="1:14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4287</v>
      </c>
      <c r="M743" t="s">
        <v>4279</v>
      </c>
      <c r="N743">
        <v>1663.2</v>
      </c>
    </row>
    <row r="744" spans="1:14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4287</v>
      </c>
      <c r="M757" t="s">
        <v>4280</v>
      </c>
      <c r="N757">
        <v>1010.13</v>
      </c>
    </row>
    <row r="758" spans="1:14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4287</v>
      </c>
      <c r="M758" t="s">
        <v>4282</v>
      </c>
      <c r="N758">
        <v>283.69</v>
      </c>
    </row>
    <row r="759" spans="1:14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4287</v>
      </c>
      <c r="M762" t="s">
        <v>4282</v>
      </c>
      <c r="N762">
        <v>39.56</v>
      </c>
    </row>
    <row r="763" spans="1:14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4287</v>
      </c>
      <c r="M763" t="s">
        <v>4282</v>
      </c>
      <c r="N763">
        <v>151.04</v>
      </c>
    </row>
    <row r="764" spans="1:14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4287</v>
      </c>
      <c r="M769" t="s">
        <v>4278</v>
      </c>
      <c r="N769">
        <v>646.44000000000005</v>
      </c>
    </row>
    <row r="770" spans="1:14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4287</v>
      </c>
      <c r="M771" t="s">
        <v>4280</v>
      </c>
      <c r="N771">
        <v>2714.2</v>
      </c>
    </row>
    <row r="772" spans="1:14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4287</v>
      </c>
      <c r="M772" t="s">
        <v>4282</v>
      </c>
      <c r="N772">
        <v>314.38</v>
      </c>
    </row>
    <row r="773" spans="1:14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4287</v>
      </c>
      <c r="M774" t="s">
        <v>4278</v>
      </c>
      <c r="N774">
        <v>604.87</v>
      </c>
    </row>
    <row r="775" spans="1:14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4287</v>
      </c>
      <c r="M775" t="s">
        <v>4281</v>
      </c>
      <c r="N775">
        <v>1024.6600000000001</v>
      </c>
    </row>
    <row r="776" spans="1:14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4287</v>
      </c>
      <c r="M777" t="s">
        <v>4282</v>
      </c>
      <c r="N777">
        <v>1250.44</v>
      </c>
    </row>
    <row r="778" spans="1:14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4287</v>
      </c>
      <c r="M779" t="s">
        <v>4281</v>
      </c>
      <c r="N779">
        <v>322.45</v>
      </c>
    </row>
    <row r="780" spans="1:14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4287</v>
      </c>
      <c r="M788" t="s">
        <v>4279</v>
      </c>
      <c r="N788">
        <v>226.55</v>
      </c>
    </row>
    <row r="789" spans="1:14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4287</v>
      </c>
      <c r="M789" t="s">
        <v>4282</v>
      </c>
      <c r="N789">
        <v>887.84</v>
      </c>
    </row>
    <row r="790" spans="1:14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4287</v>
      </c>
      <c r="M792" t="s">
        <v>4282</v>
      </c>
      <c r="N792">
        <v>1671.56</v>
      </c>
    </row>
    <row r="793" spans="1:14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4287</v>
      </c>
      <c r="M793" t="s">
        <v>4280</v>
      </c>
      <c r="N793">
        <v>1637.12</v>
      </c>
    </row>
    <row r="794" spans="1:14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4287</v>
      </c>
      <c r="M795" t="s">
        <v>4279</v>
      </c>
      <c r="N795">
        <v>851.1</v>
      </c>
    </row>
    <row r="796" spans="1:14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4287</v>
      </c>
      <c r="M799" t="s">
        <v>4281</v>
      </c>
      <c r="N799">
        <v>877.52</v>
      </c>
    </row>
    <row r="800" spans="1:14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4287</v>
      </c>
      <c r="M810" t="s">
        <v>4282</v>
      </c>
      <c r="N810">
        <v>402.15</v>
      </c>
    </row>
    <row r="811" spans="1:14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4287</v>
      </c>
      <c r="M812" t="s">
        <v>4279</v>
      </c>
      <c r="N812">
        <v>553.55999999999995</v>
      </c>
    </row>
    <row r="813" spans="1:14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4287</v>
      </c>
      <c r="M833" t="s">
        <v>4282</v>
      </c>
      <c r="N833">
        <v>177.46</v>
      </c>
    </row>
    <row r="834" spans="1:14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4287</v>
      </c>
      <c r="M836" t="s">
        <v>4278</v>
      </c>
      <c r="N836">
        <v>110.7</v>
      </c>
    </row>
    <row r="837" spans="1:14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4287</v>
      </c>
      <c r="M839" t="s">
        <v>4280</v>
      </c>
      <c r="N839">
        <v>3277.75</v>
      </c>
    </row>
    <row r="840" spans="1:14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4287</v>
      </c>
      <c r="M840" t="s">
        <v>4281</v>
      </c>
      <c r="N840">
        <v>2308.3200000000002</v>
      </c>
    </row>
    <row r="841" spans="1:14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4287</v>
      </c>
      <c r="M841" t="s">
        <v>4282</v>
      </c>
      <c r="N841">
        <v>593.91</v>
      </c>
    </row>
    <row r="842" spans="1:14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4287</v>
      </c>
      <c r="M843" t="s">
        <v>4281</v>
      </c>
      <c r="N843">
        <v>886.44</v>
      </c>
    </row>
    <row r="844" spans="1:14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4287</v>
      </c>
      <c r="M848" t="s">
        <v>4279</v>
      </c>
      <c r="N848">
        <v>719.72</v>
      </c>
    </row>
    <row r="849" spans="1:14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4287</v>
      </c>
      <c r="M850" t="s">
        <v>4279</v>
      </c>
      <c r="N850">
        <v>1291.7</v>
      </c>
    </row>
    <row r="851" spans="1:14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4287</v>
      </c>
      <c r="M858" t="s">
        <v>4281</v>
      </c>
      <c r="N858">
        <v>586.62</v>
      </c>
    </row>
    <row r="859" spans="1:14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4287</v>
      </c>
      <c r="M859" t="s">
        <v>4278</v>
      </c>
      <c r="N859">
        <v>773.52</v>
      </c>
    </row>
    <row r="860" spans="1:14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4287</v>
      </c>
      <c r="M860" t="s">
        <v>4281</v>
      </c>
      <c r="N860">
        <v>2178.3000000000002</v>
      </c>
    </row>
    <row r="861" spans="1:14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4287</v>
      </c>
      <c r="M870" t="s">
        <v>4281</v>
      </c>
      <c r="N870">
        <v>1265.28</v>
      </c>
    </row>
    <row r="871" spans="1:14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4287</v>
      </c>
      <c r="M874" t="s">
        <v>4280</v>
      </c>
      <c r="N874">
        <v>2517.36</v>
      </c>
    </row>
    <row r="875" spans="1:14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4287</v>
      </c>
      <c r="M881" t="s">
        <v>4278</v>
      </c>
      <c r="N881">
        <v>1095.3399999999999</v>
      </c>
    </row>
    <row r="882" spans="1:14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4287</v>
      </c>
      <c r="M883" t="s">
        <v>4278</v>
      </c>
      <c r="N883">
        <v>897.7</v>
      </c>
    </row>
    <row r="884" spans="1:14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4287</v>
      </c>
      <c r="M886" t="s">
        <v>4278</v>
      </c>
      <c r="N886">
        <v>595.54</v>
      </c>
    </row>
    <row r="887" spans="1:14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4287</v>
      </c>
      <c r="M888" t="s">
        <v>4282</v>
      </c>
      <c r="N888">
        <v>460.13</v>
      </c>
    </row>
    <row r="889" spans="1:14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4287</v>
      </c>
      <c r="M889" t="s">
        <v>4282</v>
      </c>
      <c r="N889">
        <v>514.98</v>
      </c>
    </row>
    <row r="890" spans="1:14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4287</v>
      </c>
      <c r="M890" t="s">
        <v>4278</v>
      </c>
      <c r="N890">
        <v>533.9</v>
      </c>
    </row>
    <row r="891" spans="1:14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4287</v>
      </c>
      <c r="M892" t="s">
        <v>4282</v>
      </c>
      <c r="N892">
        <v>1318.59</v>
      </c>
    </row>
    <row r="893" spans="1:14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4287</v>
      </c>
      <c r="M900" t="s">
        <v>4279</v>
      </c>
      <c r="N900">
        <v>475.11</v>
      </c>
    </row>
    <row r="901" spans="1:14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4287</v>
      </c>
      <c r="M902" t="s">
        <v>4278</v>
      </c>
      <c r="N902">
        <v>369.15</v>
      </c>
    </row>
    <row r="903" spans="1:14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4287</v>
      </c>
      <c r="M904" t="s">
        <v>4281</v>
      </c>
      <c r="N904">
        <v>721</v>
      </c>
    </row>
    <row r="905" spans="1:14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4287</v>
      </c>
      <c r="M905" t="s">
        <v>4280</v>
      </c>
      <c r="N905">
        <v>1420.47</v>
      </c>
    </row>
    <row r="906" spans="1:14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4287</v>
      </c>
      <c r="M908" t="s">
        <v>4280</v>
      </c>
      <c r="N908">
        <v>62.12</v>
      </c>
    </row>
    <row r="909" spans="1:14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4287</v>
      </c>
      <c r="M918" t="s">
        <v>4279</v>
      </c>
      <c r="N918">
        <v>2894.15</v>
      </c>
    </row>
    <row r="919" spans="1:14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4287</v>
      </c>
      <c r="M920" t="s">
        <v>4278</v>
      </c>
      <c r="N920">
        <v>1841.25</v>
      </c>
    </row>
    <row r="921" spans="1:14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4287</v>
      </c>
      <c r="M922" t="s">
        <v>4278</v>
      </c>
      <c r="N922">
        <v>856.18</v>
      </c>
    </row>
    <row r="923" spans="1:14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4287</v>
      </c>
      <c r="M924" t="s">
        <v>4278</v>
      </c>
      <c r="N924">
        <v>1127.6400000000001</v>
      </c>
    </row>
    <row r="925" spans="1:14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4287</v>
      </c>
      <c r="M931" t="s">
        <v>4280</v>
      </c>
      <c r="N931">
        <v>1072.5</v>
      </c>
    </row>
    <row r="932" spans="1:14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4287</v>
      </c>
      <c r="M935" t="s">
        <v>4279</v>
      </c>
      <c r="N935">
        <v>788.32</v>
      </c>
    </row>
    <row r="936" spans="1:14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4287</v>
      </c>
      <c r="M944" t="s">
        <v>4280</v>
      </c>
      <c r="N944">
        <v>479.76</v>
      </c>
    </row>
    <row r="945" spans="1:14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4287</v>
      </c>
      <c r="M950" t="s">
        <v>4282</v>
      </c>
      <c r="N950">
        <v>1188.1400000000001</v>
      </c>
    </row>
    <row r="951" spans="1:14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4287</v>
      </c>
      <c r="M951" t="s">
        <v>4279</v>
      </c>
      <c r="N951">
        <v>551.9</v>
      </c>
    </row>
    <row r="952" spans="1:14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4287</v>
      </c>
      <c r="M954" t="s">
        <v>4281</v>
      </c>
      <c r="N954">
        <v>1510.17</v>
      </c>
    </row>
    <row r="955" spans="1:14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4287</v>
      </c>
      <c r="M963" t="s">
        <v>4281</v>
      </c>
      <c r="N963">
        <v>601.36</v>
      </c>
    </row>
    <row r="964" spans="1:14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4287</v>
      </c>
      <c r="M976" t="s">
        <v>4280</v>
      </c>
      <c r="N976">
        <v>1333.9</v>
      </c>
    </row>
    <row r="977" spans="1:14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4287</v>
      </c>
      <c r="M980" t="s">
        <v>4282</v>
      </c>
      <c r="N980">
        <v>429.96</v>
      </c>
    </row>
    <row r="981" spans="1:14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4287</v>
      </c>
      <c r="M1003" t="s">
        <v>4279</v>
      </c>
      <c r="N1003">
        <v>507.36</v>
      </c>
    </row>
    <row r="1004" spans="1:14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4287</v>
      </c>
      <c r="M1007" t="s">
        <v>4282</v>
      </c>
      <c r="N1007">
        <v>1178.55</v>
      </c>
    </row>
    <row r="1008" spans="1:14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4287</v>
      </c>
      <c r="M1013" t="s">
        <v>4282</v>
      </c>
      <c r="N1013">
        <v>956.72</v>
      </c>
    </row>
    <row r="1014" spans="1:14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4287</v>
      </c>
      <c r="M1014" t="s">
        <v>4281</v>
      </c>
      <c r="N1014">
        <v>120.2</v>
      </c>
    </row>
    <row r="1015" spans="1:14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4287</v>
      </c>
      <c r="M1020" t="s">
        <v>4278</v>
      </c>
      <c r="N1020">
        <v>547.43999999999994</v>
      </c>
    </row>
    <row r="1021" spans="1:14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4287</v>
      </c>
      <c r="M1025" t="s">
        <v>4279</v>
      </c>
      <c r="N1025">
        <v>1168.3499999999999</v>
      </c>
    </row>
    <row r="1026" spans="1:14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4287</v>
      </c>
      <c r="M1029" t="s">
        <v>4282</v>
      </c>
      <c r="N1029">
        <v>2219.3200000000002</v>
      </c>
    </row>
    <row r="1030" spans="1:14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4287</v>
      </c>
      <c r="M1030" t="s">
        <v>4278</v>
      </c>
      <c r="N1030">
        <v>1761.24</v>
      </c>
    </row>
    <row r="1031" spans="1:14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4287</v>
      </c>
      <c r="M1037" t="s">
        <v>4279</v>
      </c>
      <c r="N1037">
        <v>2024.44</v>
      </c>
    </row>
    <row r="1038" spans="1:14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4287</v>
      </c>
      <c r="M1040" t="s">
        <v>4281</v>
      </c>
      <c r="N1040">
        <v>1087.5899999999999</v>
      </c>
    </row>
    <row r="1041" spans="1:14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4287</v>
      </c>
      <c r="M1045" t="s">
        <v>4278</v>
      </c>
      <c r="N1045">
        <v>359.92</v>
      </c>
    </row>
    <row r="1046" spans="1:14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4287</v>
      </c>
      <c r="M1047" t="s">
        <v>4280</v>
      </c>
      <c r="N1047">
        <v>1582</v>
      </c>
    </row>
    <row r="1048" spans="1:14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4287</v>
      </c>
      <c r="M1050" t="s">
        <v>4282</v>
      </c>
      <c r="N1050">
        <v>294.60000000000002</v>
      </c>
    </row>
    <row r="1051" spans="1:14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4287</v>
      </c>
      <c r="M1051" t="s">
        <v>4278</v>
      </c>
      <c r="N1051">
        <v>1959.3</v>
      </c>
    </row>
    <row r="1052" spans="1:14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4287</v>
      </c>
      <c r="M1052" t="s">
        <v>4278</v>
      </c>
      <c r="N1052">
        <v>348.5</v>
      </c>
    </row>
    <row r="1053" spans="1:14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4287</v>
      </c>
      <c r="M1064" t="s">
        <v>4281</v>
      </c>
      <c r="N1064">
        <v>427.6</v>
      </c>
    </row>
    <row r="1065" spans="1:14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4287</v>
      </c>
      <c r="M1069" t="s">
        <v>4278</v>
      </c>
      <c r="N1069">
        <v>632.4</v>
      </c>
    </row>
    <row r="1070" spans="1:14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4287</v>
      </c>
      <c r="M1071" t="s">
        <v>4281</v>
      </c>
      <c r="N1071">
        <v>454.23</v>
      </c>
    </row>
    <row r="1072" spans="1:14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4287</v>
      </c>
      <c r="M1072" t="s">
        <v>4280</v>
      </c>
      <c r="N1072">
        <v>1965.16</v>
      </c>
    </row>
    <row r="1073" spans="1:14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4287</v>
      </c>
      <c r="M1073" t="s">
        <v>4282</v>
      </c>
      <c r="N1073">
        <v>510.28</v>
      </c>
    </row>
    <row r="1074" spans="1:14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4287</v>
      </c>
      <c r="M1075" t="s">
        <v>4281</v>
      </c>
      <c r="N1075">
        <v>1448.24</v>
      </c>
    </row>
    <row r="1076" spans="1:14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4287</v>
      </c>
      <c r="M1076" t="s">
        <v>4282</v>
      </c>
      <c r="N1076">
        <v>222.73</v>
      </c>
    </row>
    <row r="1077" spans="1:14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4287</v>
      </c>
      <c r="M1078" t="s">
        <v>4279</v>
      </c>
      <c r="N1078">
        <v>2746.44</v>
      </c>
    </row>
    <row r="1079" spans="1:14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4287</v>
      </c>
      <c r="M1081" t="s">
        <v>4280</v>
      </c>
      <c r="N1081">
        <v>3170</v>
      </c>
    </row>
    <row r="1082" spans="1:14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4287</v>
      </c>
      <c r="M1082" t="s">
        <v>4279</v>
      </c>
      <c r="N1082">
        <v>2323.6999999999998</v>
      </c>
    </row>
    <row r="1083" spans="1:14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4287</v>
      </c>
      <c r="M1091" t="s">
        <v>4278</v>
      </c>
      <c r="N1091">
        <v>1199.48</v>
      </c>
    </row>
    <row r="1092" spans="1:14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4287</v>
      </c>
      <c r="M1092" t="s">
        <v>4278</v>
      </c>
      <c r="N1092">
        <v>1300.5</v>
      </c>
    </row>
    <row r="1093" spans="1:14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4287</v>
      </c>
      <c r="M1093" t="s">
        <v>4280</v>
      </c>
      <c r="N1093">
        <v>628.43999999999994</v>
      </c>
    </row>
    <row r="1094" spans="1:14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4287</v>
      </c>
      <c r="M1098" t="s">
        <v>4281</v>
      </c>
      <c r="N1098">
        <v>929.84</v>
      </c>
    </row>
    <row r="1099" spans="1:14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4287</v>
      </c>
      <c r="M1100" t="s">
        <v>4280</v>
      </c>
      <c r="N1100">
        <v>1023.44</v>
      </c>
    </row>
    <row r="1101" spans="1:14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4287</v>
      </c>
      <c r="M1104" t="s">
        <v>4278</v>
      </c>
      <c r="N1104">
        <v>1388.68</v>
      </c>
    </row>
    <row r="1105" spans="1:14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4287</v>
      </c>
      <c r="M1105" t="s">
        <v>4282</v>
      </c>
      <c r="N1105">
        <v>1105.28</v>
      </c>
    </row>
    <row r="1106" spans="1:14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4287</v>
      </c>
      <c r="M1106" t="s">
        <v>4278</v>
      </c>
      <c r="N1106">
        <v>1259.04</v>
      </c>
    </row>
    <row r="1107" spans="1:14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4287</v>
      </c>
      <c r="M1115" t="s">
        <v>4282</v>
      </c>
      <c r="N1115">
        <v>839.96</v>
      </c>
    </row>
    <row r="1116" spans="1:14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4287</v>
      </c>
      <c r="M1116" t="s">
        <v>4282</v>
      </c>
      <c r="N1116">
        <v>1979.64</v>
      </c>
    </row>
    <row r="1117" spans="1:14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4287</v>
      </c>
      <c r="M1117" t="s">
        <v>4282</v>
      </c>
      <c r="N1117">
        <v>672.64</v>
      </c>
    </row>
    <row r="1118" spans="1:14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4287</v>
      </c>
      <c r="M1120" t="s">
        <v>4280</v>
      </c>
      <c r="N1120">
        <v>754.43999999999994</v>
      </c>
    </row>
    <row r="1121" spans="1:14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4287</v>
      </c>
      <c r="M1122" t="s">
        <v>4281</v>
      </c>
      <c r="N1122">
        <v>195.86</v>
      </c>
    </row>
    <row r="1123" spans="1:14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4287</v>
      </c>
      <c r="M1124" t="s">
        <v>4281</v>
      </c>
      <c r="N1124">
        <v>3390.95</v>
      </c>
    </row>
    <row r="1125" spans="1:14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4287</v>
      </c>
      <c r="M1126" t="s">
        <v>4278</v>
      </c>
      <c r="N1126">
        <v>2307.48</v>
      </c>
    </row>
    <row r="1127" spans="1:14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4287</v>
      </c>
      <c r="M1140" t="s">
        <v>4278</v>
      </c>
      <c r="N1140">
        <v>1177.6400000000001</v>
      </c>
    </row>
    <row r="1141" spans="1:14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4287</v>
      </c>
      <c r="M1142" t="s">
        <v>4279</v>
      </c>
      <c r="N1142">
        <v>1105.6600000000001</v>
      </c>
    </row>
    <row r="1143" spans="1:14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4287</v>
      </c>
      <c r="M1143" t="s">
        <v>4280</v>
      </c>
      <c r="N1143">
        <v>1495.98</v>
      </c>
    </row>
    <row r="1144" spans="1:14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4287</v>
      </c>
      <c r="M1144" t="s">
        <v>4280</v>
      </c>
      <c r="N1144">
        <v>2780.4</v>
      </c>
    </row>
    <row r="1145" spans="1:14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4287</v>
      </c>
      <c r="M1145" t="s">
        <v>4280</v>
      </c>
      <c r="N1145">
        <v>381.61</v>
      </c>
    </row>
    <row r="1146" spans="1:14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4287</v>
      </c>
      <c r="M1146" t="s">
        <v>4281</v>
      </c>
      <c r="N1146">
        <v>2539.6999999999998</v>
      </c>
    </row>
    <row r="1147" spans="1:14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4287</v>
      </c>
      <c r="M1153" t="s">
        <v>4282</v>
      </c>
      <c r="N1153">
        <v>1216.08</v>
      </c>
    </row>
    <row r="1154" spans="1:14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4287</v>
      </c>
      <c r="M1154" t="s">
        <v>4279</v>
      </c>
      <c r="N1154">
        <v>688.36</v>
      </c>
    </row>
    <row r="1155" spans="1:14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4287</v>
      </c>
      <c r="M1155" t="s">
        <v>4278</v>
      </c>
      <c r="N1155">
        <v>2786.84</v>
      </c>
    </row>
    <row r="1156" spans="1:14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4287</v>
      </c>
      <c r="M1158" t="s">
        <v>4279</v>
      </c>
      <c r="N1158">
        <v>2763.12</v>
      </c>
    </row>
    <row r="1159" spans="1:14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4287</v>
      </c>
      <c r="M1161" t="s">
        <v>4278</v>
      </c>
      <c r="N1161">
        <v>1866.8</v>
      </c>
    </row>
    <row r="1162" spans="1:14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4287</v>
      </c>
      <c r="M1167" t="s">
        <v>4282</v>
      </c>
      <c r="N1167">
        <v>671.37</v>
      </c>
    </row>
    <row r="1168" spans="1:14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4287</v>
      </c>
      <c r="M1174" t="s">
        <v>4278</v>
      </c>
      <c r="N1174">
        <v>395.88</v>
      </c>
    </row>
    <row r="1175" spans="1:14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4287</v>
      </c>
      <c r="M1186" t="s">
        <v>4282</v>
      </c>
      <c r="N1186">
        <v>204.08</v>
      </c>
    </row>
    <row r="1187" spans="1:14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4287</v>
      </c>
      <c r="M1191" t="s">
        <v>4279</v>
      </c>
      <c r="N1191">
        <v>1946.1</v>
      </c>
    </row>
    <row r="1192" spans="1:14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4287</v>
      </c>
      <c r="M1194" t="s">
        <v>4278</v>
      </c>
      <c r="N1194">
        <v>1298.55</v>
      </c>
    </row>
    <row r="1195" spans="1:14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4287</v>
      </c>
      <c r="M1198" t="s">
        <v>4281</v>
      </c>
      <c r="N1198">
        <v>1325.06</v>
      </c>
    </row>
    <row r="1199" spans="1:14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97A4-BFA7-49A3-83AF-B4E8033ED427}">
  <dimension ref="A1:B9"/>
  <sheetViews>
    <sheetView zoomScale="88" workbookViewId="0">
      <selection activeCell="K13" sqref="K13"/>
    </sheetView>
  </sheetViews>
  <sheetFormatPr defaultRowHeight="14.4"/>
  <cols>
    <col min="1" max="1" width="17.88671875" bestFit="1" customWidth="1"/>
    <col min="2" max="2" width="27.44140625" bestFit="1" customWidth="1"/>
  </cols>
  <sheetData>
    <row r="1" spans="1:2" s="4" customFormat="1">
      <c r="A1" s="5" t="s">
        <v>4292</v>
      </c>
      <c r="B1" s="5" t="s">
        <v>4293</v>
      </c>
    </row>
    <row r="2" spans="1:2">
      <c r="A2" s="6" t="s">
        <v>4294</v>
      </c>
      <c r="B2" s="6">
        <v>1053.97</v>
      </c>
    </row>
    <row r="3" spans="1:2">
      <c r="A3" s="6" t="s">
        <v>4295</v>
      </c>
      <c r="B3" s="6">
        <v>823.62</v>
      </c>
    </row>
    <row r="4" spans="1:2">
      <c r="A4" s="6" t="s">
        <v>4296</v>
      </c>
      <c r="B4" s="6">
        <v>3456.4</v>
      </c>
    </row>
    <row r="5" spans="1:2">
      <c r="A5" s="6" t="s">
        <v>4297</v>
      </c>
      <c r="B5" s="6">
        <v>11.39</v>
      </c>
    </row>
    <row r="6" spans="1:2">
      <c r="A6" s="6" t="s">
        <v>4298</v>
      </c>
      <c r="B6" s="6">
        <v>1200</v>
      </c>
    </row>
    <row r="7" spans="1:2" ht="28.8">
      <c r="A7" s="6" t="s">
        <v>4299</v>
      </c>
      <c r="B7" s="6" t="s">
        <v>4300</v>
      </c>
    </row>
    <row r="8" spans="1:2" ht="43.2">
      <c r="A8" s="6" t="s">
        <v>4301</v>
      </c>
      <c r="B8" s="6" t="s">
        <v>4303</v>
      </c>
    </row>
    <row r="9" spans="1:2" ht="43.2">
      <c r="A9" s="6" t="s">
        <v>4302</v>
      </c>
      <c r="B9" s="6" t="s">
        <v>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BD45-FAF5-4086-A22A-AE6075D4BFE8}">
  <dimension ref="A3:D9"/>
  <sheetViews>
    <sheetView workbookViewId="0">
      <selection activeCell="D24" sqref="D24"/>
    </sheetView>
  </sheetViews>
  <sheetFormatPr defaultRowHeight="14.4"/>
  <cols>
    <col min="1" max="1" width="12.5546875" bestFit="1" customWidth="1"/>
    <col min="2" max="2" width="15.88671875" bestFit="1" customWidth="1"/>
    <col min="3" max="3" width="15.44140625" bestFit="1" customWidth="1"/>
    <col min="4" max="4" width="20.109375" bestFit="1" customWidth="1"/>
  </cols>
  <sheetData>
    <row r="3" spans="1:4">
      <c r="A3" s="8" t="s">
        <v>4323</v>
      </c>
      <c r="B3" t="s">
        <v>4325</v>
      </c>
      <c r="C3" t="s">
        <v>4341</v>
      </c>
      <c r="D3" t="s">
        <v>4342</v>
      </c>
    </row>
    <row r="4" spans="1:4">
      <c r="A4" s="9" t="s">
        <v>3069</v>
      </c>
      <c r="B4">
        <v>259786.28999999992</v>
      </c>
      <c r="C4">
        <v>246</v>
      </c>
      <c r="D4">
        <v>1056.0418292682923</v>
      </c>
    </row>
    <row r="5" spans="1:4">
      <c r="A5" s="9" t="s">
        <v>3067</v>
      </c>
      <c r="B5">
        <v>263847.62999999989</v>
      </c>
      <c r="C5">
        <v>234</v>
      </c>
      <c r="D5">
        <v>1127.5539743589738</v>
      </c>
    </row>
    <row r="6" spans="1:4">
      <c r="A6" s="9" t="s">
        <v>3065</v>
      </c>
      <c r="B6">
        <v>232361.17999999996</v>
      </c>
      <c r="C6">
        <v>232</v>
      </c>
      <c r="D6">
        <v>1001.5568103448275</v>
      </c>
    </row>
    <row r="7" spans="1:4">
      <c r="A7" s="9" t="s">
        <v>3068</v>
      </c>
      <c r="B7">
        <v>246323.9200000001</v>
      </c>
      <c r="C7">
        <v>230</v>
      </c>
      <c r="D7">
        <v>1070.9735652173918</v>
      </c>
    </row>
    <row r="8" spans="1:4">
      <c r="A8" s="9" t="s">
        <v>3066</v>
      </c>
      <c r="B8">
        <v>262442.94000000012</v>
      </c>
      <c r="C8">
        <v>258</v>
      </c>
      <c r="D8">
        <v>1017.2206976744191</v>
      </c>
    </row>
    <row r="9" spans="1:4">
      <c r="A9" s="9" t="s">
        <v>4324</v>
      </c>
      <c r="B9">
        <v>1264761.9600000004</v>
      </c>
      <c r="C9">
        <v>1200</v>
      </c>
      <c r="D9">
        <v>1053.9683000000005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D248-5B21-4D2B-9C22-2173B0B107EA}">
  <dimension ref="A3:D8"/>
  <sheetViews>
    <sheetView workbookViewId="0">
      <selection activeCell="E26" sqref="E26"/>
    </sheetView>
  </sheetViews>
  <sheetFormatPr defaultRowHeight="14.4"/>
  <cols>
    <col min="1" max="1" width="12.5546875" bestFit="1" customWidth="1"/>
    <col min="2" max="2" width="15.88671875" bestFit="1" customWidth="1"/>
    <col min="3" max="3" width="15.44140625" bestFit="1" customWidth="1"/>
    <col min="4" max="4" width="20.109375" bestFit="1" customWidth="1"/>
  </cols>
  <sheetData>
    <row r="3" spans="1:4">
      <c r="A3" s="8" t="s">
        <v>4323</v>
      </c>
      <c r="B3" t="s">
        <v>4325</v>
      </c>
      <c r="C3" t="s">
        <v>4341</v>
      </c>
      <c r="D3" t="s">
        <v>4342</v>
      </c>
    </row>
    <row r="4" spans="1:4">
      <c r="A4" s="9" t="s">
        <v>4276</v>
      </c>
      <c r="B4" s="12">
        <v>335036.99000000028</v>
      </c>
      <c r="C4">
        <v>313</v>
      </c>
      <c r="D4" s="12">
        <v>1070.4057188498412</v>
      </c>
    </row>
    <row r="5" spans="1:4">
      <c r="A5" s="9" t="s">
        <v>4287</v>
      </c>
      <c r="B5" s="12">
        <v>322401.40999999992</v>
      </c>
      <c r="C5">
        <v>309</v>
      </c>
      <c r="D5" s="12">
        <v>1043.3702588996762</v>
      </c>
    </row>
    <row r="6" spans="1:4">
      <c r="A6" s="9" t="s">
        <v>4275</v>
      </c>
      <c r="B6" s="12">
        <v>304840.02</v>
      </c>
      <c r="C6">
        <v>286</v>
      </c>
      <c r="D6" s="12">
        <v>1065.8741958041958</v>
      </c>
    </row>
    <row r="7" spans="1:4">
      <c r="A7" s="9" t="s">
        <v>4277</v>
      </c>
      <c r="B7" s="12">
        <v>302483.54000000021</v>
      </c>
      <c r="C7">
        <v>292</v>
      </c>
      <c r="D7" s="12">
        <v>1035.9025342465761</v>
      </c>
    </row>
    <row r="8" spans="1:4">
      <c r="A8" s="9" t="s">
        <v>4324</v>
      </c>
      <c r="B8" s="12">
        <v>1264761.9600000004</v>
      </c>
      <c r="C8">
        <v>1200</v>
      </c>
      <c r="D8" s="12">
        <v>1053.9683000000005</v>
      </c>
    </row>
  </sheetData>
  <sortState xmlns:xlrd2="http://schemas.microsoft.com/office/spreadsheetml/2017/richdata2" ref="A3:D8">
    <sortCondition descending="1" ref="B3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7932-90CD-4133-A99F-DAFF923AB50B}">
  <dimension ref="A1:D9"/>
  <sheetViews>
    <sheetView workbookViewId="0">
      <selection activeCell="C16" sqref="C16"/>
    </sheetView>
  </sheetViews>
  <sheetFormatPr defaultRowHeight="14.4"/>
  <cols>
    <col min="1" max="1" width="12.5546875" bestFit="1" customWidth="1"/>
    <col min="2" max="2" width="15.88671875" bestFit="1" customWidth="1"/>
    <col min="3" max="3" width="18.44140625" bestFit="1" customWidth="1"/>
    <col min="4" max="5" width="18.109375" bestFit="1" customWidth="1"/>
  </cols>
  <sheetData>
    <row r="1" spans="1:4">
      <c r="A1" s="8" t="s">
        <v>4323</v>
      </c>
      <c r="B1" t="s">
        <v>4325</v>
      </c>
      <c r="C1" t="s">
        <v>4344</v>
      </c>
      <c r="D1" t="s">
        <v>4343</v>
      </c>
    </row>
    <row r="2" spans="1:4">
      <c r="A2" s="9" t="s">
        <v>2406</v>
      </c>
      <c r="B2" s="12">
        <v>195620.11000000002</v>
      </c>
      <c r="C2" s="12">
        <v>355.66028089887641</v>
      </c>
      <c r="D2" s="13">
        <v>3.1573033707865168</v>
      </c>
    </row>
    <row r="3" spans="1:4">
      <c r="A3" s="9" t="s">
        <v>2407</v>
      </c>
      <c r="B3" s="12">
        <v>195612.60999999996</v>
      </c>
      <c r="C3" s="12">
        <v>351.71491712707183</v>
      </c>
      <c r="D3" s="13">
        <v>2.9944751381215471</v>
      </c>
    </row>
    <row r="4" spans="1:4">
      <c r="A4" s="9" t="s">
        <v>2408</v>
      </c>
      <c r="B4" s="12">
        <v>192126.55999999994</v>
      </c>
      <c r="C4" s="12">
        <v>357.70705202312138</v>
      </c>
      <c r="D4" s="13">
        <v>3.0924855491329479</v>
      </c>
    </row>
    <row r="5" spans="1:4">
      <c r="A5" s="9" t="s">
        <v>2405</v>
      </c>
      <c r="B5" s="12">
        <v>186568.95000000007</v>
      </c>
      <c r="C5" s="12">
        <v>367.67910614525141</v>
      </c>
      <c r="D5" s="13">
        <v>2.7765363128491618</v>
      </c>
    </row>
    <row r="6" spans="1:4">
      <c r="A6" s="9" t="s">
        <v>2403</v>
      </c>
      <c r="B6" s="12">
        <v>175651.40999999997</v>
      </c>
      <c r="C6" s="12">
        <v>358.66361963190184</v>
      </c>
      <c r="D6" s="13">
        <v>2.9447852760736195</v>
      </c>
    </row>
    <row r="7" spans="1:4">
      <c r="A7" s="9" t="s">
        <v>2409</v>
      </c>
      <c r="B7" s="12">
        <v>167459.93</v>
      </c>
      <c r="C7" s="12">
        <v>329.6081176470588</v>
      </c>
      <c r="D7" s="13">
        <v>2.9882352941176471</v>
      </c>
    </row>
    <row r="8" spans="1:4">
      <c r="A8" s="9" t="s">
        <v>2404</v>
      </c>
      <c r="B8" s="12">
        <v>151722.39000000001</v>
      </c>
      <c r="C8" s="12">
        <v>375.2175641025641</v>
      </c>
      <c r="D8" s="13">
        <v>2.6346153846153846</v>
      </c>
    </row>
    <row r="9" spans="1:4">
      <c r="A9" s="9" t="s">
        <v>4324</v>
      </c>
      <c r="B9" s="12">
        <v>1264761.9600000004</v>
      </c>
      <c r="C9" s="12">
        <v>356.41275000000002</v>
      </c>
      <c r="D9" s="13">
        <v>2.9458333333333333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44DF-5DDA-4535-8623-662C21BBF402}">
  <dimension ref="A1:C35"/>
  <sheetViews>
    <sheetView zoomScaleNormal="100" workbookViewId="0">
      <selection activeCell="E1" sqref="E1"/>
    </sheetView>
  </sheetViews>
  <sheetFormatPr defaultRowHeight="14.4"/>
  <cols>
    <col min="1" max="1" width="12.5546875" bestFit="1" customWidth="1"/>
    <col min="2" max="2" width="15.88671875" bestFit="1" customWidth="1"/>
    <col min="3" max="3" width="15.44140625" bestFit="1" customWidth="1"/>
    <col min="4" max="4" width="15.88671875" bestFit="1" customWidth="1"/>
    <col min="5" max="5" width="15.44140625" bestFit="1" customWidth="1"/>
    <col min="6" max="6" width="15.88671875" bestFit="1" customWidth="1"/>
    <col min="7" max="7" width="15.44140625" bestFit="1" customWidth="1"/>
    <col min="8" max="8" width="15.88671875" bestFit="1" customWidth="1"/>
    <col min="9" max="9" width="15.44140625" bestFit="1" customWidth="1"/>
    <col min="10" max="10" width="15.88671875" bestFit="1" customWidth="1"/>
    <col min="11" max="11" width="15.44140625" bestFit="1" customWidth="1"/>
    <col min="12" max="12" width="15.88671875" bestFit="1" customWidth="1"/>
    <col min="13" max="13" width="15.44140625" bestFit="1" customWidth="1"/>
    <col min="14" max="14" width="15.88671875" bestFit="1" customWidth="1"/>
    <col min="15" max="15" width="15.44140625" bestFit="1" customWidth="1"/>
    <col min="16" max="16" width="15.88671875" bestFit="1" customWidth="1"/>
    <col min="17" max="17" width="15.44140625" bestFit="1" customWidth="1"/>
    <col min="18" max="18" width="15.88671875" bestFit="1" customWidth="1"/>
    <col min="19" max="19" width="15.44140625" bestFit="1" customWidth="1"/>
    <col min="20" max="20" width="15.88671875" bestFit="1" customWidth="1"/>
    <col min="21" max="21" width="15.44140625" bestFit="1" customWidth="1"/>
    <col min="22" max="22" width="15.88671875" bestFit="1" customWidth="1"/>
    <col min="23" max="23" width="15.44140625" bestFit="1" customWidth="1"/>
    <col min="24" max="24" width="15.88671875" bestFit="1" customWidth="1"/>
    <col min="25" max="25" width="15.44140625" bestFit="1" customWidth="1"/>
    <col min="26" max="26" width="20.6640625" bestFit="1" customWidth="1"/>
    <col min="27" max="27" width="20.21875" bestFit="1" customWidth="1"/>
    <col min="28" max="672" width="10.33203125" bestFit="1" customWidth="1"/>
    <col min="673" max="673" width="11" bestFit="1" customWidth="1"/>
  </cols>
  <sheetData>
    <row r="1" spans="1:3">
      <c r="A1" s="8" t="s">
        <v>4323</v>
      </c>
      <c r="B1" t="s">
        <v>4325</v>
      </c>
      <c r="C1" t="s">
        <v>4341</v>
      </c>
    </row>
    <row r="2" spans="1:3">
      <c r="A2" s="9" t="s">
        <v>4326</v>
      </c>
    </row>
    <row r="3" spans="1:3">
      <c r="A3" s="10" t="s">
        <v>4329</v>
      </c>
      <c r="B3">
        <v>56685.749999999985</v>
      </c>
      <c r="C3">
        <v>47</v>
      </c>
    </row>
    <row r="4" spans="1:3">
      <c r="A4" s="10" t="s">
        <v>4330</v>
      </c>
      <c r="B4">
        <v>40117.659999999996</v>
      </c>
      <c r="C4">
        <v>37</v>
      </c>
    </row>
    <row r="5" spans="1:3">
      <c r="A5" s="10" t="s">
        <v>4331</v>
      </c>
      <c r="B5">
        <v>48609.37000000001</v>
      </c>
      <c r="C5">
        <v>43</v>
      </c>
    </row>
    <row r="6" spans="1:3">
      <c r="A6" s="10" t="s">
        <v>4332</v>
      </c>
      <c r="B6">
        <v>27751.710000000006</v>
      </c>
      <c r="C6">
        <v>31</v>
      </c>
    </row>
    <row r="7" spans="1:3">
      <c r="A7" s="10" t="s">
        <v>4333</v>
      </c>
      <c r="B7">
        <v>63836.840000000026</v>
      </c>
      <c r="C7">
        <v>49</v>
      </c>
    </row>
    <row r="8" spans="1:3">
      <c r="A8" s="10" t="s">
        <v>4334</v>
      </c>
      <c r="B8">
        <v>49500.19</v>
      </c>
      <c r="C8">
        <v>45</v>
      </c>
    </row>
    <row r="9" spans="1:3">
      <c r="A9" s="10" t="s">
        <v>4335</v>
      </c>
      <c r="B9">
        <v>42820.66</v>
      </c>
      <c r="C9">
        <v>44</v>
      </c>
    </row>
    <row r="10" spans="1:3">
      <c r="A10" s="10" t="s">
        <v>4336</v>
      </c>
      <c r="B10">
        <v>54352.14</v>
      </c>
      <c r="C10">
        <v>51</v>
      </c>
    </row>
    <row r="11" spans="1:3">
      <c r="A11" s="10" t="s">
        <v>4337</v>
      </c>
      <c r="B11">
        <v>29526.67</v>
      </c>
      <c r="C11">
        <v>29</v>
      </c>
    </row>
    <row r="12" spans="1:3">
      <c r="A12" s="10" t="s">
        <v>4338</v>
      </c>
      <c r="B12">
        <v>52607.85</v>
      </c>
      <c r="C12">
        <v>47</v>
      </c>
    </row>
    <row r="13" spans="1:3">
      <c r="A13" s="10" t="s">
        <v>4339</v>
      </c>
      <c r="B13">
        <v>43079.67</v>
      </c>
      <c r="C13">
        <v>41</v>
      </c>
    </row>
    <row r="14" spans="1:3">
      <c r="A14" s="10" t="s">
        <v>4340</v>
      </c>
      <c r="B14">
        <v>43754.729999999981</v>
      </c>
      <c r="C14">
        <v>46</v>
      </c>
    </row>
    <row r="15" spans="1:3">
      <c r="A15" s="9" t="s">
        <v>4327</v>
      </c>
    </row>
    <row r="16" spans="1:3">
      <c r="A16" s="10" t="s">
        <v>4329</v>
      </c>
      <c r="B16">
        <v>38528.079999999994</v>
      </c>
      <c r="C16">
        <v>32</v>
      </c>
    </row>
    <row r="17" spans="1:3">
      <c r="A17" s="10" t="s">
        <v>4330</v>
      </c>
      <c r="B17">
        <v>36909.570000000014</v>
      </c>
      <c r="C17">
        <v>32</v>
      </c>
    </row>
    <row r="18" spans="1:3">
      <c r="A18" s="10" t="s">
        <v>4331</v>
      </c>
      <c r="B18">
        <v>36030.899999999994</v>
      </c>
      <c r="C18">
        <v>36</v>
      </c>
    </row>
    <row r="19" spans="1:3">
      <c r="A19" s="10" t="s">
        <v>4332</v>
      </c>
      <c r="B19">
        <v>49613.139999999992</v>
      </c>
      <c r="C19">
        <v>50</v>
      </c>
    </row>
    <row r="20" spans="1:3">
      <c r="A20" s="10" t="s">
        <v>4333</v>
      </c>
      <c r="B20">
        <v>27909.110000000004</v>
      </c>
      <c r="C20">
        <v>34</v>
      </c>
    </row>
    <row r="21" spans="1:3">
      <c r="A21" s="10" t="s">
        <v>4334</v>
      </c>
      <c r="B21">
        <v>68068.539999999979</v>
      </c>
      <c r="C21">
        <v>53</v>
      </c>
    </row>
    <row r="22" spans="1:3">
      <c r="A22" s="10" t="s">
        <v>4335</v>
      </c>
      <c r="B22">
        <v>42963.98</v>
      </c>
      <c r="C22">
        <v>43</v>
      </c>
    </row>
    <row r="23" spans="1:3">
      <c r="A23" s="10" t="s">
        <v>4336</v>
      </c>
      <c r="B23">
        <v>31991.07</v>
      </c>
      <c r="C23">
        <v>28</v>
      </c>
    </row>
    <row r="24" spans="1:3">
      <c r="A24" s="10" t="s">
        <v>4337</v>
      </c>
      <c r="B24">
        <v>39794.979999999996</v>
      </c>
      <c r="C24">
        <v>44</v>
      </c>
    </row>
    <row r="25" spans="1:3">
      <c r="A25" s="10" t="s">
        <v>4338</v>
      </c>
      <c r="B25">
        <v>37226.969999999994</v>
      </c>
      <c r="C25">
        <v>31</v>
      </c>
    </row>
    <row r="26" spans="1:3">
      <c r="A26" s="10" t="s">
        <v>4339</v>
      </c>
      <c r="B26">
        <v>32413.760000000006</v>
      </c>
      <c r="C26">
        <v>35</v>
      </c>
    </row>
    <row r="27" spans="1:3">
      <c r="A27" s="10" t="s">
        <v>4340</v>
      </c>
      <c r="B27">
        <v>38785.769999999997</v>
      </c>
      <c r="C27">
        <v>41</v>
      </c>
    </row>
    <row r="28" spans="1:3">
      <c r="A28" s="9" t="s">
        <v>4328</v>
      </c>
    </row>
    <row r="29" spans="1:3">
      <c r="A29" s="10" t="s">
        <v>4329</v>
      </c>
      <c r="B29">
        <v>29099.399999999998</v>
      </c>
      <c r="C29">
        <v>27</v>
      </c>
    </row>
    <row r="30" spans="1:3">
      <c r="A30" s="10" t="s">
        <v>4330</v>
      </c>
      <c r="B30">
        <v>35317.549999999996</v>
      </c>
      <c r="C30">
        <v>37</v>
      </c>
    </row>
    <row r="31" spans="1:3">
      <c r="A31" s="10" t="s">
        <v>4331</v>
      </c>
      <c r="B31">
        <v>39200.660000000011</v>
      </c>
      <c r="C31">
        <v>49</v>
      </c>
    </row>
    <row r="32" spans="1:3">
      <c r="A32" s="10" t="s">
        <v>4332</v>
      </c>
      <c r="B32">
        <v>31821.200000000001</v>
      </c>
      <c r="C32">
        <v>32</v>
      </c>
    </row>
    <row r="33" spans="1:3">
      <c r="A33" s="10" t="s">
        <v>4333</v>
      </c>
      <c r="B33">
        <v>43396.639999999992</v>
      </c>
      <c r="C33">
        <v>37</v>
      </c>
    </row>
    <row r="34" spans="1:3">
      <c r="A34" s="10" t="s">
        <v>4334</v>
      </c>
      <c r="B34">
        <v>53047.399999999994</v>
      </c>
      <c r="C34">
        <v>49</v>
      </c>
    </row>
    <row r="35" spans="1:3">
      <c r="A35" s="9" t="s">
        <v>4324</v>
      </c>
      <c r="B35">
        <v>1264761.9600000004</v>
      </c>
      <c r="C35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7748-82BE-4A79-9F82-A0901BE4FE4E}">
  <dimension ref="A1:B7"/>
  <sheetViews>
    <sheetView workbookViewId="0">
      <selection activeCell="B8" sqref="B8"/>
    </sheetView>
  </sheetViews>
  <sheetFormatPr defaultRowHeight="14.4"/>
  <cols>
    <col min="1" max="1" width="14.44140625" bestFit="1" customWidth="1"/>
    <col min="2" max="2" width="29.44140625" customWidth="1"/>
  </cols>
  <sheetData>
    <row r="1" spans="1:2" s="4" customFormat="1">
      <c r="A1" s="5" t="s">
        <v>4283</v>
      </c>
      <c r="B1" s="5" t="s">
        <v>4284</v>
      </c>
    </row>
    <row r="2" spans="1:2">
      <c r="A2" s="6" t="s">
        <v>4285</v>
      </c>
      <c r="B2" s="7">
        <f>COUNTA(Sheet1!A:A)-1</f>
        <v>1200</v>
      </c>
    </row>
    <row r="3" spans="1:2">
      <c r="A3" s="6" t="s">
        <v>4286</v>
      </c>
      <c r="B3" s="7">
        <f>AVERAGE(Sheet1!N:N)</f>
        <v>1053.9683000000005</v>
      </c>
    </row>
    <row r="4" spans="1:2" ht="28.8">
      <c r="A4" s="6" t="s">
        <v>4288</v>
      </c>
      <c r="B4" s="7">
        <f>MEDIAN(Sheet1!N:N)</f>
        <v>823.61500000000001</v>
      </c>
    </row>
    <row r="5" spans="1:2" ht="28.8">
      <c r="A5" s="6" t="s">
        <v>4289</v>
      </c>
      <c r="B5" s="7">
        <f>MAX(Sheet1!N:N)</f>
        <v>3456.4</v>
      </c>
    </row>
    <row r="6" spans="1:2" ht="28.8">
      <c r="A6" s="6" t="s">
        <v>4290</v>
      </c>
      <c r="B6" s="7">
        <f>MIN(Sheet1!N:N)</f>
        <v>11.39</v>
      </c>
    </row>
    <row r="7" spans="1:2">
      <c r="A7" s="6" t="s">
        <v>4291</v>
      </c>
      <c r="B7" s="7">
        <f>COUNTA(Sheet1!A:A)-1</f>
        <v>1200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9C8D-8646-405B-B019-5E39E76B7FAD}">
  <dimension ref="A1:B9"/>
  <sheetViews>
    <sheetView workbookViewId="0">
      <selection activeCell="F4" sqref="F4"/>
    </sheetView>
  </sheetViews>
  <sheetFormatPr defaultRowHeight="14.4"/>
  <cols>
    <col min="1" max="1" width="13.5546875" bestFit="1" customWidth="1"/>
    <col min="2" max="2" width="27.109375" bestFit="1" customWidth="1"/>
  </cols>
  <sheetData>
    <row r="1" spans="1:2">
      <c r="A1" s="5" t="s">
        <v>4305</v>
      </c>
      <c r="B1" s="5" t="s">
        <v>4306</v>
      </c>
    </row>
    <row r="2" spans="1:2" ht="28.8">
      <c r="A2" s="6" t="s">
        <v>4307</v>
      </c>
      <c r="B2" s="6" t="s">
        <v>4308</v>
      </c>
    </row>
    <row r="3" spans="1:2">
      <c r="A3" s="6" t="s">
        <v>4309</v>
      </c>
      <c r="B3" s="6" t="s">
        <v>4310</v>
      </c>
    </row>
    <row r="4" spans="1:2">
      <c r="A4" s="6" t="s">
        <v>4311</v>
      </c>
      <c r="B4" s="6" t="s">
        <v>4312</v>
      </c>
    </row>
    <row r="5" spans="1:2">
      <c r="A5" s="6" t="s">
        <v>4313</v>
      </c>
      <c r="B5" s="6" t="s">
        <v>4314</v>
      </c>
    </row>
    <row r="6" spans="1:2">
      <c r="A6" s="6" t="s">
        <v>4315</v>
      </c>
      <c r="B6" s="6" t="s">
        <v>4316</v>
      </c>
    </row>
    <row r="7" spans="1:2" ht="28.8">
      <c r="A7" s="6" t="s">
        <v>4317</v>
      </c>
      <c r="B7" s="6" t="s">
        <v>4318</v>
      </c>
    </row>
    <row r="8" spans="1:2" ht="28.8">
      <c r="A8" s="6" t="s">
        <v>4319</v>
      </c>
      <c r="B8" s="6" t="s">
        <v>4320</v>
      </c>
    </row>
    <row r="9" spans="1:2" ht="28.8">
      <c r="A9" s="6" t="s">
        <v>4321</v>
      </c>
      <c r="B9" s="6" t="s">
        <v>4322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C739-58C3-4EB2-A8D9-B2D1198F3C69}">
  <dimension ref="A1:B5"/>
  <sheetViews>
    <sheetView workbookViewId="0">
      <selection activeCell="B13" sqref="B13"/>
    </sheetView>
  </sheetViews>
  <sheetFormatPr defaultRowHeight="14.4"/>
  <cols>
    <col min="1" max="1" width="17.77734375" bestFit="1" customWidth="1"/>
    <col min="2" max="2" width="159.77734375" bestFit="1" customWidth="1"/>
  </cols>
  <sheetData>
    <row r="1" spans="1:2" s="11" customFormat="1">
      <c r="A1" s="11" t="s">
        <v>4345</v>
      </c>
      <c r="B1" s="11" t="s">
        <v>4346</v>
      </c>
    </row>
    <row r="2" spans="1:2">
      <c r="A2" t="s">
        <v>4347</v>
      </c>
      <c r="B2" t="s">
        <v>4348</v>
      </c>
    </row>
    <row r="3" spans="1:2">
      <c r="A3" t="s">
        <v>4349</v>
      </c>
      <c r="B3" t="s">
        <v>4350</v>
      </c>
    </row>
    <row r="4" spans="1:2">
      <c r="A4" t="s">
        <v>4351</v>
      </c>
      <c r="B4" t="s">
        <v>4352</v>
      </c>
    </row>
    <row r="5" spans="1:2">
      <c r="A5" t="s">
        <v>4353</v>
      </c>
      <c r="B5" t="s">
        <v>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EDA</vt:lpstr>
      <vt:lpstr>Payment Analysis</vt:lpstr>
      <vt:lpstr>Coupon Analysis</vt:lpstr>
      <vt:lpstr>Product Analysis</vt:lpstr>
      <vt:lpstr>Sales Trend</vt:lpstr>
      <vt:lpstr>Statistics</vt:lpstr>
      <vt:lpstr>Observations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Shilam</dc:creator>
  <cp:lastModifiedBy>Sudheer Shilam</cp:lastModifiedBy>
  <dcterms:created xsi:type="dcterms:W3CDTF">2025-06-21T13:19:12Z</dcterms:created>
  <dcterms:modified xsi:type="dcterms:W3CDTF">2026-05-31T07:01:21Z</dcterms:modified>
</cp:coreProperties>
</file>